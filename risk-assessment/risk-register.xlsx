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Heat Map" sheetId="3" state="visible" r:id="rId3"/>
    <sheet xmlns:r="http://schemas.openxmlformats.org/officeDocument/2006/relationships" name="Top 10" sheetId="4" state="visible" r:id="rId4"/>
    <sheet xmlns:r="http://schemas.openxmlformats.org/officeDocument/2006/relationships" name="Controls Mapping" sheetId="5" state="visible" r:id="rId5"/>
    <sheet xmlns:r="http://schemas.openxmlformats.org/officeDocument/2006/relationships" name="Roadmap" sheetId="6" state="visible" r:id="rId6"/>
  </sheets>
  <definedNames>
    <definedName name="_xlnm._FilterDatabase" localSheetId="1" hidden="1">'Risk Register'!$A$1:$N$31</definedName>
    <definedName name="_xlnm._FilterDatabase" localSheetId="3" hidden="1">'Top 10'!$A$1:$H$11</definedName>
    <definedName name="_xlnm._FilterDatabase" localSheetId="4" hidden="1">'Controls Mapping'!$A$1:$G$18</definedName>
    <definedName name="_xlnm._FilterDatabase" localSheetId="5" hidden="1">'Roadmap'!$A$1:$G$23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FF8B8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BD2D9"/>
      </left>
      <right style="thin">
        <color rgb="00CBD2D9"/>
      </right>
      <top style="thin">
        <color rgb="00CBD2D9"/>
      </top>
      <bottom style="thin">
        <color rgb="00CBD2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8B8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Risk methodology - Apex Manufacturing (fictional)</t>
        </is>
      </c>
    </row>
    <row r="2">
      <c r="A2" s="2" t="inlineStr">
        <is>
          <t>Risk score = Likelihood x Impact (5 x 5). This is the assessment's documented methodology, not a universal standard.</t>
        </is>
      </c>
    </row>
    <row r="3">
      <c r="A3" s="2" t="inlineStr">
        <is>
          <t>Current risk = with existing controls. Residual risk = after the recommended controls are implemented.</t>
        </is>
      </c>
    </row>
    <row r="4">
      <c r="A4" s="2" t="inlineStr">
        <is>
          <t>Thresholds: 1-4 Low | 5-9 Medium | 10-16 High | 17-25 Critical</t>
        </is>
      </c>
    </row>
    <row r="5">
      <c r="A5" s="2" t="inlineStr">
        <is>
          <t>Top-10 ranking: score desc, then impact desc, then number of attack scenarios the threat appears in, then ID.</t>
        </is>
      </c>
    </row>
    <row r="6">
      <c r="A6" s="2" t="inlineStr"/>
    </row>
    <row r="7">
      <c r="A7" s="2" t="inlineStr">
        <is>
          <t>LIKELIHOOD</t>
        </is>
      </c>
    </row>
    <row r="8">
      <c r="A8" s="2" t="inlineStr">
        <is>
          <t xml:space="preserve">  1 Rare: Requires nation-state capability and insider access; no known precedent in the sector.</t>
        </is>
      </c>
    </row>
    <row r="9">
      <c r="A9" s="2" t="inlineStr">
        <is>
          <t xml:space="preserve">  2 Unlikely: Requires significant skill plus an existing foothold; strong compensating controls in place.</t>
        </is>
      </c>
    </row>
    <row r="10">
      <c r="A10" s="2" t="inlineStr">
        <is>
          <t xml:space="preserve">  3 Possible: Feasible for a motivated attacker with OT knowledge once inside; controls are partial.</t>
        </is>
      </c>
    </row>
    <row r="11">
      <c r="A11" s="2" t="inlineStr">
        <is>
          <t xml:space="preserve">  4 Likely: Technique is used routinely against similar manufacturers; weak controls; low skill required.</t>
        </is>
      </c>
    </row>
    <row r="12">
      <c r="A12" s="2" t="inlineStr">
        <is>
          <t xml:space="preserve">  5 Almost Certain: Trivial to exploit, directly exposed, or already observed at Apex.</t>
        </is>
      </c>
    </row>
    <row r="13">
      <c r="A13" s="2" t="inlineStr"/>
    </row>
    <row r="14">
      <c r="A14" s="2" t="inlineStr">
        <is>
          <t>IMPACT (highest applicable dimension: safety, production, financial, quality, data)</t>
        </is>
      </c>
    </row>
    <row r="15">
      <c r="A15" s="2" t="inlineStr">
        <is>
          <t xml:space="preserve">  1 Insignificant: No production impact; &lt; £10k; no safety or quality effect.</t>
        </is>
      </c>
    </row>
    <row r="16">
      <c r="A16" s="2" t="inlineStr">
        <is>
          <t xml:space="preserve">  2 Minor: &lt; 4 h on one line; £10k-£50k; quality issue caught internally.</t>
        </is>
      </c>
    </row>
    <row r="17">
      <c r="A17" s="2" t="inlineStr">
        <is>
          <t xml:space="preserve">  3 Moderate: 4-24 h on one line or &lt; 8 h plant-wide; £50k-£250k; limited disclosure of sensitive data.</t>
        </is>
      </c>
    </row>
    <row r="18">
      <c r="A18" s="2" t="inlineStr">
        <is>
          <t xml:space="preserve">  4 Major: 1-3 days plant outage; £250k-£1M; defective parts reach customer or equipment damage.</t>
        </is>
      </c>
    </row>
    <row r="19">
      <c r="A19" s="2" t="inlineStr">
        <is>
          <t xml:space="preserve">  5 Severe: &gt; 3 days outage; &gt; £1M; potential injury, product recall or loss of OEM contract.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20" customWidth="1" min="3" max="3"/>
    <col width="40" customWidth="1" min="4" max="4"/>
    <col width="5" customWidth="1" min="5" max="5"/>
    <col width="5" customWidth="1" min="6" max="6"/>
    <col width="7" customWidth="1" min="7" max="7"/>
    <col width="10" customWidth="1" min="8" max="8"/>
    <col width="24" customWidth="1" min="9" max="9"/>
    <col width="7" customWidth="1" min="10" max="10"/>
    <col width="7" customWidth="1" min="11" max="11"/>
    <col width="9" customWidth="1" min="12" max="12"/>
    <col width="11" customWidth="1" min="13" max="13"/>
    <col width="10" customWidth="1" min="14" max="14"/>
  </cols>
  <sheetData>
    <row r="1">
      <c r="A1" s="3" t="inlineStr">
        <is>
          <t>Threat ID</t>
        </is>
      </c>
      <c r="B1" s="3" t="inlineStr">
        <is>
          <t>Risk</t>
        </is>
      </c>
      <c r="C1" s="3" t="inlineStr">
        <is>
          <t>STRIDE</t>
        </is>
      </c>
      <c r="D1" s="3" t="inlineStr">
        <is>
          <t>Assets</t>
        </is>
      </c>
      <c r="E1" s="3" t="inlineStr">
        <is>
          <t>L</t>
        </is>
      </c>
      <c r="F1" s="3" t="inlineStr">
        <is>
          <t>I</t>
        </is>
      </c>
      <c r="G1" s="3" t="inlineStr">
        <is>
          <t>Score</t>
        </is>
      </c>
      <c r="H1" s="3" t="inlineStr">
        <is>
          <t>Rating</t>
        </is>
      </c>
      <c r="I1" s="3" t="inlineStr">
        <is>
          <t>Controls</t>
        </is>
      </c>
      <c r="J1" s="3" t="inlineStr">
        <is>
          <t>Res. L</t>
        </is>
      </c>
      <c r="K1" s="3" t="inlineStr">
        <is>
          <t>Res. I</t>
        </is>
      </c>
      <c r="L1" s="3" t="inlineStr">
        <is>
          <t>Res. score</t>
        </is>
      </c>
      <c r="M1" s="3" t="inlineStr">
        <is>
          <t>Res. rating</t>
        </is>
      </c>
      <c r="N1" s="3" t="inlineStr">
        <is>
          <t>Reduction</t>
        </is>
      </c>
    </row>
    <row r="2">
      <c r="A2" s="4" t="inlineStr">
        <is>
          <t>T-01</t>
        </is>
      </c>
      <c r="B2" s="4" t="inlineStr">
        <is>
          <t>Stolen vendor credentials used on VPN</t>
        </is>
      </c>
      <c r="C2" s="4" t="inlineStr">
        <is>
          <t>Spoofing</t>
        </is>
      </c>
      <c r="D2" s="4" t="inlineStr">
        <is>
          <t>Remote-access gateway (SSL VPN), Vendor remote support (RoboServ)</t>
        </is>
      </c>
      <c r="E2" s="4" t="n">
        <v>4</v>
      </c>
      <c r="F2" s="4" t="n">
        <v>5</v>
      </c>
      <c r="G2" s="4">
        <f>E2*F2</f>
        <v/>
      </c>
      <c r="H2" s="4">
        <f>IF(G2&gt;=17,"Critical",IF(G2&gt;=10,"High",IF(G2&gt;=5,"Medium","Low")))</f>
        <v/>
      </c>
      <c r="I2" s="4" t="inlineStr">
        <is>
          <t>SC-01, SC-04, SC-16</t>
        </is>
      </c>
      <c r="J2" s="4" t="n">
        <v>2</v>
      </c>
      <c r="K2" s="4" t="n">
        <v>5</v>
      </c>
      <c r="L2" s="4">
        <f>J2*K2</f>
        <v/>
      </c>
      <c r="M2" s="4">
        <f>IF(L2&gt;=17,"Critical",IF(L2&gt;=10,"High",IF(L2&gt;=5,"Medium","Low")))</f>
        <v/>
      </c>
      <c r="N2" s="4">
        <f>G2-L2</f>
        <v/>
      </c>
    </row>
    <row r="3">
      <c r="A3" s="4" t="inlineStr">
        <is>
          <t>T-02</t>
        </is>
      </c>
      <c r="B3" s="4" t="inlineStr">
        <is>
          <t>Unauthorized PLC logic modification</t>
        </is>
      </c>
      <c r="C3" s="4" t="inlineStr">
        <is>
          <t>Tampering</t>
        </is>
      </c>
      <c r="D3" s="4" t="inlineStr">
        <is>
          <t>Engineering workstation (EWS), PLC-01 Conveyor, PLC-02 Robotic welding cell, PLC-03 Packaging</t>
        </is>
      </c>
      <c r="E3" s="4" t="n">
        <v>3</v>
      </c>
      <c r="F3" s="4" t="n">
        <v>5</v>
      </c>
      <c r="G3" s="4">
        <f>E3*F3</f>
        <v/>
      </c>
      <c r="H3" s="4">
        <f>IF(G3&gt;=17,"Critical",IF(G3&gt;=10,"High",IF(G3&gt;=5,"Medium","Low")))</f>
        <v/>
      </c>
      <c r="I3" s="4" t="inlineStr">
        <is>
          <t>SC-07, SC-03, SC-10</t>
        </is>
      </c>
      <c r="J3" s="4" t="n">
        <v>1</v>
      </c>
      <c r="K3" s="4" t="n">
        <v>5</v>
      </c>
      <c r="L3" s="4">
        <f>J3*K3</f>
        <v/>
      </c>
      <c r="M3" s="4">
        <f>IF(L3&gt;=17,"Critical",IF(L3&gt;=10,"High",IF(L3&gt;=5,"Medium","Low")))</f>
        <v/>
      </c>
      <c r="N3" s="4">
        <f>G3-L3</f>
        <v/>
      </c>
    </row>
    <row r="4">
      <c r="A4" s="4" t="inlineStr">
        <is>
          <t>T-03</t>
        </is>
      </c>
      <c r="B4" s="4" t="inlineStr">
        <is>
          <t>Operator actions cannot be attributed</t>
        </is>
      </c>
      <c r="C4" s="4" t="inlineStr">
        <is>
          <t>Repudiation</t>
        </is>
      </c>
      <c r="D4" s="4" t="inlineStr">
        <is>
          <t>SCADA server / HMI (2 operator stations)</t>
        </is>
      </c>
      <c r="E4" s="4" t="n">
        <v>4</v>
      </c>
      <c r="F4" s="4" t="n">
        <v>3</v>
      </c>
      <c r="G4" s="4">
        <f>E4*F4</f>
        <v/>
      </c>
      <c r="H4" s="4">
        <f>IF(G4&gt;=17,"Critical",IF(G4&gt;=10,"High",IF(G4&gt;=5,"Medium","Low")))</f>
        <v/>
      </c>
      <c r="I4" s="4" t="inlineStr">
        <is>
          <t>SC-15, SC-09</t>
        </is>
      </c>
      <c r="J4" s="4" t="n">
        <v>2</v>
      </c>
      <c r="K4" s="4" t="n">
        <v>3</v>
      </c>
      <c r="L4" s="4">
        <f>J4*K4</f>
        <v/>
      </c>
      <c r="M4" s="4">
        <f>IF(L4&gt;=17,"Critical",IF(L4&gt;=10,"High",IF(L4&gt;=5,"Medium","Low")))</f>
        <v/>
      </c>
      <c r="N4" s="4">
        <f>G4-L4</f>
        <v/>
      </c>
    </row>
    <row r="5">
      <c r="A5" s="4" t="inlineStr">
        <is>
          <t>T-04</t>
        </is>
      </c>
      <c r="B5" s="4" t="inlineStr">
        <is>
          <t>Unauthorized access to production data</t>
        </is>
      </c>
      <c r="C5" s="4" t="inlineStr">
        <is>
          <t>Information Disclosure</t>
        </is>
      </c>
      <c r="D5" s="4" t="inlineStr">
        <is>
          <t>Historian replica</t>
        </is>
      </c>
      <c r="E5" s="4" t="n">
        <v>3</v>
      </c>
      <c r="F5" s="4" t="n">
        <v>3</v>
      </c>
      <c r="G5" s="4">
        <f>E5*F5</f>
        <v/>
      </c>
      <c r="H5" s="4">
        <f>IF(G5&gt;=17,"Critical",IF(G5&gt;=10,"High",IF(G5&gt;=5,"Medium","Low")))</f>
        <v/>
      </c>
      <c r="I5" s="4" t="inlineStr">
        <is>
          <t>SC-15, SC-09</t>
        </is>
      </c>
      <c r="J5" s="4" t="n">
        <v>2</v>
      </c>
      <c r="K5" s="4" t="n">
        <v>3</v>
      </c>
      <c r="L5" s="4">
        <f>J5*K5</f>
        <v/>
      </c>
      <c r="M5" s="4">
        <f>IF(L5&gt;=17,"Critical",IF(L5&gt;=10,"High",IF(L5&gt;=5,"Medium","Low")))</f>
        <v/>
      </c>
      <c r="N5" s="4">
        <f>G5-L5</f>
        <v/>
      </c>
    </row>
    <row r="6">
      <c r="A6" s="4" t="inlineStr">
        <is>
          <t>T-05</t>
        </is>
      </c>
      <c r="B6" s="4" t="inlineStr">
        <is>
          <t>Network flooding disrupts PLC communications</t>
        </is>
      </c>
      <c r="C6" s="4" t="inlineStr">
        <is>
          <t>Denial of Service</t>
        </is>
      </c>
      <c r="D6" s="4" t="inlineStr">
        <is>
          <t>PLC-01 Conveyor, PLC-02 Robotic welding cell, PLC-03 Packaging, OT network switches</t>
        </is>
      </c>
      <c r="E6" s="4" t="n">
        <v>3</v>
      </c>
      <c r="F6" s="4" t="n">
        <v>4</v>
      </c>
      <c r="G6" s="4">
        <f>E6*F6</f>
        <v/>
      </c>
      <c r="H6" s="4">
        <f>IF(G6&gt;=17,"Critical",IF(G6&gt;=10,"High",IF(G6&gt;=5,"Medium","Low")))</f>
        <v/>
      </c>
      <c r="I6" s="4" t="inlineStr">
        <is>
          <t>SC-03, SC-17, SC-10</t>
        </is>
      </c>
      <c r="J6" s="4" t="n">
        <v>2</v>
      </c>
      <c r="K6" s="4" t="n">
        <v>4</v>
      </c>
      <c r="L6" s="4">
        <f>J6*K6</f>
        <v/>
      </c>
      <c r="M6" s="4">
        <f>IF(L6&gt;=17,"Critical",IF(L6&gt;=10,"High",IF(L6&gt;=5,"Medium","Low")))</f>
        <v/>
      </c>
      <c r="N6" s="4">
        <f>G6-L6</f>
        <v/>
      </c>
    </row>
    <row r="7">
      <c r="A7" s="4" t="inlineStr">
        <is>
          <t>T-06</t>
        </is>
      </c>
      <c r="B7" s="4" t="inlineStr">
        <is>
          <t>Malware gains admin rights on engineering workstation</t>
        </is>
      </c>
      <c r="C7" s="4" t="inlineStr">
        <is>
          <t>Elevation of Privilege</t>
        </is>
      </c>
      <c r="D7" s="4" t="inlineStr">
        <is>
          <t>Engineering workstation (EWS)</t>
        </is>
      </c>
      <c r="E7" s="4" t="n">
        <v>3</v>
      </c>
      <c r="F7" s="4" t="n">
        <v>5</v>
      </c>
      <c r="G7" s="4">
        <f>E7*F7</f>
        <v/>
      </c>
      <c r="H7" s="4">
        <f>IF(G7&gt;=17,"Critical",IF(G7&gt;=10,"High",IF(G7&gt;=5,"Medium","Low")))</f>
        <v/>
      </c>
      <c r="I7" s="4" t="inlineStr">
        <is>
          <t>SC-06, SC-04, SC-13</t>
        </is>
      </c>
      <c r="J7" s="4" t="n">
        <v>2</v>
      </c>
      <c r="K7" s="4" t="n">
        <v>5</v>
      </c>
      <c r="L7" s="4">
        <f>J7*K7</f>
        <v/>
      </c>
      <c r="M7" s="4">
        <f>IF(L7&gt;=17,"Critical",IF(L7&gt;=10,"High",IF(L7&gt;=5,"Medium","Low")))</f>
        <v/>
      </c>
      <c r="N7" s="4">
        <f>G7-L7</f>
        <v/>
      </c>
    </row>
    <row r="8">
      <c r="A8" s="4" t="inlineStr">
        <is>
          <t>T-07</t>
        </is>
      </c>
      <c r="B8" s="4" t="inlineStr">
        <is>
          <t>Jump server used as pivot into OT</t>
        </is>
      </c>
      <c r="C8" s="4" t="inlineStr">
        <is>
          <t>Elevation of Privilege</t>
        </is>
      </c>
      <c r="D8" s="4" t="inlineStr">
        <is>
          <t>Jump server</t>
        </is>
      </c>
      <c r="E8" s="4" t="n">
        <v>3</v>
      </c>
      <c r="F8" s="4" t="n">
        <v>5</v>
      </c>
      <c r="G8" s="4">
        <f>E8*F8</f>
        <v/>
      </c>
      <c r="H8" s="4">
        <f>IF(G8&gt;=17,"Critical",IF(G8&gt;=10,"High",IF(G8&gt;=5,"Medium","Low")))</f>
        <v/>
      </c>
      <c r="I8" s="4" t="inlineStr">
        <is>
          <t>SC-05, SC-02, SC-04</t>
        </is>
      </c>
      <c r="J8" s="4" t="n">
        <v>1</v>
      </c>
      <c r="K8" s="4" t="n">
        <v>5</v>
      </c>
      <c r="L8" s="4">
        <f>J8*K8</f>
        <v/>
      </c>
      <c r="M8" s="4">
        <f>IF(L8&gt;=17,"Critical",IF(L8&gt;=10,"High",IF(L8&gt;=5,"Medium","Low")))</f>
        <v/>
      </c>
      <c r="N8" s="4">
        <f>G8-L8</f>
        <v/>
      </c>
    </row>
    <row r="9">
      <c r="A9" s="4" t="inlineStr">
        <is>
          <t>T-08</t>
        </is>
      </c>
      <c r="B9" s="4" t="inlineStr">
        <is>
          <t>Corporate AD compromise grants OT access</t>
        </is>
      </c>
      <c r="C9" s="4" t="inlineStr">
        <is>
          <t>Spoofing</t>
        </is>
      </c>
      <c r="D9" s="4" t="inlineStr">
        <is>
          <t>Active Directory (apex.local), SCADA server / HMI (2 operator stations), Engineering workstation (EWS), Process historian</t>
        </is>
      </c>
      <c r="E9" s="4" t="n">
        <v>4</v>
      </c>
      <c r="F9" s="4" t="n">
        <v>5</v>
      </c>
      <c r="G9" s="4">
        <f>E9*F9</f>
        <v/>
      </c>
      <c r="H9" s="4">
        <f>IF(G9&gt;=17,"Critical",IF(G9&gt;=10,"High",IF(G9&gt;=5,"Medium","Low")))</f>
        <v/>
      </c>
      <c r="I9" s="4" t="inlineStr">
        <is>
          <t>SC-02, SC-04</t>
        </is>
      </c>
      <c r="J9" s="4" t="n">
        <v>1</v>
      </c>
      <c r="K9" s="4" t="n">
        <v>5</v>
      </c>
      <c r="L9" s="4">
        <f>J9*K9</f>
        <v/>
      </c>
      <c r="M9" s="4">
        <f>IF(L9&gt;=17,"Critical",IF(L9&gt;=10,"High",IF(L9&gt;=5,"Medium","Low")))</f>
        <v/>
      </c>
      <c r="N9" s="4">
        <f>G9-L9</f>
        <v/>
      </c>
    </row>
    <row r="10">
      <c r="A10" s="4" t="inlineStr">
        <is>
          <t>T-09</t>
        </is>
      </c>
      <c r="B10" s="4" t="inlineStr">
        <is>
          <t>Phishing email establishes enterprise foothold</t>
        </is>
      </c>
      <c r="C10" s="4" t="inlineStr">
        <is>
          <t>Spoofing</t>
        </is>
      </c>
      <c r="D10" s="4" t="inlineStr">
        <is>
          <t>Employee workstations (~320), Email service (cloud-hosted)</t>
        </is>
      </c>
      <c r="E10" s="4" t="n">
        <v>5</v>
      </c>
      <c r="F10" s="4" t="n">
        <v>3</v>
      </c>
      <c r="G10" s="4">
        <f>E10*F10</f>
        <v/>
      </c>
      <c r="H10" s="4">
        <f>IF(G10&gt;=17,"Critical",IF(G10&gt;=10,"High",IF(G10&gt;=5,"Medium","Low")))</f>
        <v/>
      </c>
      <c r="I10" s="4" t="inlineStr">
        <is>
          <t>SC-12</t>
        </is>
      </c>
      <c r="J10" s="4" t="n">
        <v>3</v>
      </c>
      <c r="K10" s="4" t="n">
        <v>3</v>
      </c>
      <c r="L10" s="4">
        <f>J10*K10</f>
        <v/>
      </c>
      <c r="M10" s="4">
        <f>IF(L10&gt;=17,"Critical",IF(L10&gt;=10,"High",IF(L10&gt;=5,"Medium","Low")))</f>
        <v/>
      </c>
      <c r="N10" s="4">
        <f>G10-L10</f>
        <v/>
      </c>
    </row>
    <row r="11">
      <c r="A11" s="4" t="inlineStr">
        <is>
          <t>T-10</t>
        </is>
      </c>
      <c r="B11" s="4" t="inlineStr">
        <is>
          <t>Permissive IT/OT firewall rules bypass IDMZ</t>
        </is>
      </c>
      <c r="C11" s="4" t="inlineStr">
        <is>
          <t>Elevation of Privilege</t>
        </is>
      </c>
      <c r="D11" s="4" t="inlineStr">
        <is>
          <t>IT/OT firewall (three-legged)</t>
        </is>
      </c>
      <c r="E11" s="4" t="n">
        <v>4</v>
      </c>
      <c r="F11" s="4" t="n">
        <v>5</v>
      </c>
      <c r="G11" s="4">
        <f>E11*F11</f>
        <v/>
      </c>
      <c r="H11" s="4">
        <f>IF(G11&gt;=17,"Critical",IF(G11&gt;=10,"High",IF(G11&gt;=5,"Medium","Low")))</f>
        <v/>
      </c>
      <c r="I11" s="4" t="inlineStr">
        <is>
          <t>SC-02</t>
        </is>
      </c>
      <c r="J11" s="4" t="n">
        <v>1</v>
      </c>
      <c r="K11" s="4" t="n">
        <v>5</v>
      </c>
      <c r="L11" s="4">
        <f>J11*K11</f>
        <v/>
      </c>
      <c r="M11" s="4">
        <f>IF(L11&gt;=17,"Critical",IF(L11&gt;=10,"High",IF(L11&gt;=5,"Medium","Low")))</f>
        <v/>
      </c>
      <c r="N11" s="4">
        <f>G11-L11</f>
        <v/>
      </c>
    </row>
    <row r="12">
      <c r="A12" s="4" t="inlineStr">
        <is>
          <t>T-11</t>
        </is>
      </c>
      <c r="B12" s="4" t="inlineStr">
        <is>
          <t>IIoT gateway LTE link bypasses IDMZ</t>
        </is>
      </c>
      <c r="C12" s="4" t="inlineStr">
        <is>
          <t>Elevation of Privilege</t>
        </is>
      </c>
      <c r="D12" s="4" t="inlineStr">
        <is>
          <t>IIoT gateway + LTE router</t>
        </is>
      </c>
      <c r="E12" s="4" t="n">
        <v>3</v>
      </c>
      <c r="F12" s="4" t="n">
        <v>5</v>
      </c>
      <c r="G12" s="4">
        <f>E12*F12</f>
        <v/>
      </c>
      <c r="H12" s="4">
        <f>IF(G12&gt;=17,"Critical",IF(G12&gt;=10,"High",IF(G12&gt;=5,"Medium","Low")))</f>
        <v/>
      </c>
      <c r="I12" s="4" t="inlineStr">
        <is>
          <t>SC-11, SC-13</t>
        </is>
      </c>
      <c r="J12" s="4" t="n">
        <v>1</v>
      </c>
      <c r="K12" s="4" t="n">
        <v>5</v>
      </c>
      <c r="L12" s="4">
        <f>J12*K12</f>
        <v/>
      </c>
      <c r="M12" s="4">
        <f>IF(L12&gt;=17,"Critical",IF(L12&gt;=10,"High",IF(L12&gt;=5,"Medium","Low")))</f>
        <v/>
      </c>
      <c r="N12" s="4">
        <f>G12-L12</f>
        <v/>
      </c>
    </row>
    <row r="13">
      <c r="A13" s="4" t="inlineStr">
        <is>
          <t>T-12</t>
        </is>
      </c>
      <c r="B13" s="4" t="inlineStr">
        <is>
          <t>Production data exposed via cloud platform</t>
        </is>
      </c>
      <c r="C13" s="4" t="inlineStr">
        <is>
          <t>Information Disclosure</t>
        </is>
      </c>
      <c r="D13" s="4" t="inlineStr">
        <is>
          <t>Cloud analytics platform (SaaS)</t>
        </is>
      </c>
      <c r="E13" s="4" t="n">
        <v>3</v>
      </c>
      <c r="F13" s="4" t="n">
        <v>3</v>
      </c>
      <c r="G13" s="4">
        <f>E13*F13</f>
        <v/>
      </c>
      <c r="H13" s="4">
        <f>IF(G13&gt;=17,"Critical",IF(G13&gt;=10,"High",IF(G13&gt;=5,"Medium","Low")))</f>
        <v/>
      </c>
      <c r="I13" s="4" t="inlineStr">
        <is>
          <t>SC-16, SC-04, SC-11</t>
        </is>
      </c>
      <c r="J13" s="4" t="n">
        <v>2</v>
      </c>
      <c r="K13" s="4" t="n">
        <v>3</v>
      </c>
      <c r="L13" s="4">
        <f>J13*K13</f>
        <v/>
      </c>
      <c r="M13" s="4">
        <f>IF(L13&gt;=17,"Critical",IF(L13&gt;=10,"High",IF(L13&gt;=5,"Medium","Low")))</f>
        <v/>
      </c>
      <c r="N13" s="4">
        <f>G13-L13</f>
        <v/>
      </c>
    </row>
    <row r="14">
      <c r="A14" s="4" t="inlineStr">
        <is>
          <t>T-13</t>
        </is>
      </c>
      <c r="B14" s="4" t="inlineStr">
        <is>
          <t>Malicious firmware/config pushed from cloud</t>
        </is>
      </c>
      <c r="C14" s="4" t="inlineStr">
        <is>
          <t>Tampering</t>
        </is>
      </c>
      <c r="D14" s="4" t="inlineStr">
        <is>
          <t>IIoT gateway + LTE router, Cloud analytics platform (SaaS)</t>
        </is>
      </c>
      <c r="E14" s="4" t="n">
        <v>2</v>
      </c>
      <c r="F14" s="4" t="n">
        <v>5</v>
      </c>
      <c r="G14" s="4">
        <f>E14*F14</f>
        <v/>
      </c>
      <c r="H14" s="4">
        <f>IF(G14&gt;=17,"Critical",IF(G14&gt;=10,"High",IF(G14&gt;=5,"Medium","Low")))</f>
        <v/>
      </c>
      <c r="I14" s="4" t="inlineStr">
        <is>
          <t>SC-11, SC-16</t>
        </is>
      </c>
      <c r="J14" s="4" t="n">
        <v>1</v>
      </c>
      <c r="K14" s="4" t="n">
        <v>3</v>
      </c>
      <c r="L14" s="4">
        <f>J14*K14</f>
        <v/>
      </c>
      <c r="M14" s="4">
        <f>IF(L14&gt;=17,"Critical",IF(L14&gt;=10,"High",IF(L14&gt;=5,"Medium","Low")))</f>
        <v/>
      </c>
      <c r="N14" s="4">
        <f>G14-L14</f>
        <v/>
      </c>
    </row>
    <row r="15">
      <c r="A15" s="4" t="inlineStr">
        <is>
          <t>T-14</t>
        </is>
      </c>
      <c r="B15" s="4" t="inlineStr">
        <is>
          <t>Spoofed wireless sensor readings</t>
        </is>
      </c>
      <c r="C15" s="4" t="inlineStr">
        <is>
          <t>Spoofing</t>
        </is>
      </c>
      <c r="D15" s="4" t="inlineStr">
        <is>
          <t>Wireless vibration sensors (24), IIoT gateway + LTE router</t>
        </is>
      </c>
      <c r="E15" s="4" t="n">
        <v>2</v>
      </c>
      <c r="F15" s="4" t="n">
        <v>2</v>
      </c>
      <c r="G15" s="4">
        <f>E15*F15</f>
        <v/>
      </c>
      <c r="H15" s="4">
        <f>IF(G15&gt;=17,"Critical",IF(G15&gt;=10,"High",IF(G15&gt;=5,"Medium","Low")))</f>
        <v/>
      </c>
      <c r="I15" s="4" t="inlineStr">
        <is>
          <t>SC-11</t>
        </is>
      </c>
      <c r="J15" s="4" t="n">
        <v>1</v>
      </c>
      <c r="K15" s="4" t="n">
        <v>2</v>
      </c>
      <c r="L15" s="4">
        <f>J15*K15</f>
        <v/>
      </c>
      <c r="M15" s="4">
        <f>IF(L15&gt;=17,"Critical",IF(L15&gt;=10,"High",IF(L15&gt;=5,"Medium","Low")))</f>
        <v/>
      </c>
      <c r="N15" s="4">
        <f>G15-L15</f>
        <v/>
      </c>
    </row>
    <row r="16">
      <c r="A16" s="4" t="inlineStr">
        <is>
          <t>T-15</t>
        </is>
      </c>
      <c r="B16" s="4" t="inlineStr">
        <is>
          <t>Unauthenticated Modbus write commands</t>
        </is>
      </c>
      <c r="C16" s="4" t="inlineStr">
        <is>
          <t>Tampering</t>
        </is>
      </c>
      <c r="D16" s="4" t="inlineStr">
        <is>
          <t>SCADA server / HMI (2 operator stations), PLC-01 Conveyor, PLC-02 Robotic welding cell, PLC-03 Packaging</t>
        </is>
      </c>
      <c r="E16" s="4" t="n">
        <v>3</v>
      </c>
      <c r="F16" s="4" t="n">
        <v>5</v>
      </c>
      <c r="G16" s="4">
        <f>E16*F16</f>
        <v/>
      </c>
      <c r="H16" s="4">
        <f>IF(G16&gt;=17,"Critical",IF(G16&gt;=10,"High",IF(G16&gt;=5,"Medium","Low")))</f>
        <v/>
      </c>
      <c r="I16" s="4" t="inlineStr">
        <is>
          <t>SC-03, SC-10</t>
        </is>
      </c>
      <c r="J16" s="4" t="n">
        <v>1</v>
      </c>
      <c r="K16" s="4" t="n">
        <v>5</v>
      </c>
      <c r="L16" s="4">
        <f>J16*K16</f>
        <v/>
      </c>
      <c r="M16" s="4">
        <f>IF(L16&gt;=17,"Critical",IF(L16&gt;=10,"High",IF(L16&gt;=5,"Medium","Low")))</f>
        <v/>
      </c>
      <c r="N16" s="4">
        <f>G16-L16</f>
        <v/>
      </c>
    </row>
    <row r="17">
      <c r="A17" s="4" t="inlineStr">
        <is>
          <t>T-16</t>
        </is>
      </c>
      <c r="B17" s="4" t="inlineStr">
        <is>
          <t>Sniffing of cleartext control traffic</t>
        </is>
      </c>
      <c r="C17" s="4" t="inlineStr">
        <is>
          <t>Information Disclosure</t>
        </is>
      </c>
      <c r="D17" s="4" t="inlineStr">
        <is>
          <t>OT network switches</t>
        </is>
      </c>
      <c r="E17" s="4" t="n">
        <v>3</v>
      </c>
      <c r="F17" s="4" t="n">
        <v>2</v>
      </c>
      <c r="G17" s="4">
        <f>E17*F17</f>
        <v/>
      </c>
      <c r="H17" s="4">
        <f>IF(G17&gt;=17,"Critical",IF(G17&gt;=10,"High",IF(G17&gt;=5,"Medium","Low")))</f>
        <v/>
      </c>
      <c r="I17" s="4" t="inlineStr">
        <is>
          <t>SC-03, SC-10</t>
        </is>
      </c>
      <c r="J17" s="4" t="n">
        <v>2</v>
      </c>
      <c r="K17" s="4" t="n">
        <v>2</v>
      </c>
      <c r="L17" s="4">
        <f>J17*K17</f>
        <v/>
      </c>
      <c r="M17" s="4">
        <f>IF(L17&gt;=17,"Critical",IF(L17&gt;=10,"High",IF(L17&gt;=5,"Medium","Low")))</f>
        <v/>
      </c>
      <c r="N17" s="4">
        <f>G17-L17</f>
        <v/>
      </c>
    </row>
    <row r="18">
      <c r="A18" s="4" t="inlineStr">
        <is>
          <t>T-17</t>
        </is>
      </c>
      <c r="B18" s="4" t="inlineStr">
        <is>
          <t>Ransomware encrypts SCADA/HMI</t>
        </is>
      </c>
      <c r="C18" s="4" t="inlineStr">
        <is>
          <t>Denial of Service</t>
        </is>
      </c>
      <c r="D18" s="4" t="inlineStr">
        <is>
          <t>SCADA server / HMI (2 operator stations), ERP system</t>
        </is>
      </c>
      <c r="E18" s="4" t="n">
        <v>4</v>
      </c>
      <c r="F18" s="4" t="n">
        <v>5</v>
      </c>
      <c r="G18" s="4">
        <f>E18*F18</f>
        <v/>
      </c>
      <c r="H18" s="4">
        <f>IF(G18&gt;=17,"Critical",IF(G18&gt;=10,"High",IF(G18&gt;=5,"Medium","Low")))</f>
        <v/>
      </c>
      <c r="I18" s="4" t="inlineStr">
        <is>
          <t>SC-02, SC-06, SC-08, SC-14</t>
        </is>
      </c>
      <c r="J18" s="4" t="n">
        <v>2</v>
      </c>
      <c r="K18" s="4" t="n">
        <v>4</v>
      </c>
      <c r="L18" s="4">
        <f>J18*K18</f>
        <v/>
      </c>
      <c r="M18" s="4">
        <f>IF(L18&gt;=17,"Critical",IF(L18&gt;=10,"High",IF(L18&gt;=5,"Medium","Low")))</f>
        <v/>
      </c>
      <c r="N18" s="4">
        <f>G18-L18</f>
        <v/>
      </c>
    </row>
    <row r="19">
      <c r="A19" s="4" t="inlineStr">
        <is>
          <t>T-18</t>
        </is>
      </c>
      <c r="B19" s="4" t="inlineStr">
        <is>
          <t>Loss of historian quality records</t>
        </is>
      </c>
      <c r="C19" s="4" t="inlineStr">
        <is>
          <t>Denial of Service</t>
        </is>
      </c>
      <c r="D19" s="4" t="inlineStr">
        <is>
          <t>Process historian, Historian replica</t>
        </is>
      </c>
      <c r="E19" s="4" t="n">
        <v>3</v>
      </c>
      <c r="F19" s="4" t="n">
        <v>4</v>
      </c>
      <c r="G19" s="4">
        <f>E19*F19</f>
        <v/>
      </c>
      <c r="H19" s="4">
        <f>IF(G19&gt;=17,"Critical",IF(G19&gt;=10,"High",IF(G19&gt;=5,"Medium","Low")))</f>
        <v/>
      </c>
      <c r="I19" s="4" t="inlineStr">
        <is>
          <t>SC-08, SC-02</t>
        </is>
      </c>
      <c r="J19" s="4" t="n">
        <v>2</v>
      </c>
      <c r="K19" s="4" t="n">
        <v>3</v>
      </c>
      <c r="L19" s="4">
        <f>J19*K19</f>
        <v/>
      </c>
      <c r="M19" s="4">
        <f>IF(L19&gt;=17,"Critical",IF(L19&gt;=10,"High",IF(L19&gt;=5,"Medium","Low")))</f>
        <v/>
      </c>
      <c r="N19" s="4">
        <f>G19-L19</f>
        <v/>
      </c>
    </row>
    <row r="20">
      <c r="A20" s="4" t="inlineStr">
        <is>
          <t>T-19</t>
        </is>
      </c>
      <c r="B20" s="4" t="inlineStr">
        <is>
          <t>Tampering with historian quality data</t>
        </is>
      </c>
      <c r="C20" s="4" t="inlineStr">
        <is>
          <t>Tampering</t>
        </is>
      </c>
      <c r="D20" s="4" t="inlineStr">
        <is>
          <t>Process historian</t>
        </is>
      </c>
      <c r="E20" s="4" t="n">
        <v>2</v>
      </c>
      <c r="F20" s="4" t="n">
        <v>4</v>
      </c>
      <c r="G20" s="4">
        <f>E20*F20</f>
        <v/>
      </c>
      <c r="H20" s="4">
        <f>IF(G20&gt;=17,"Critical",IF(G20&gt;=10,"High",IF(G20&gt;=5,"Medium","Low")))</f>
        <v/>
      </c>
      <c r="I20" s="4" t="inlineStr">
        <is>
          <t>SC-15, SC-09</t>
        </is>
      </c>
      <c r="J20" s="4" t="n">
        <v>1</v>
      </c>
      <c r="K20" s="4" t="n">
        <v>4</v>
      </c>
      <c r="L20" s="4">
        <f>J20*K20</f>
        <v/>
      </c>
      <c r="M20" s="4">
        <f>IF(L20&gt;=17,"Critical",IF(L20&gt;=10,"High",IF(L20&gt;=5,"Medium","Low")))</f>
        <v/>
      </c>
      <c r="N20" s="4">
        <f>G20-L20</f>
        <v/>
      </c>
    </row>
    <row r="21">
      <c r="A21" s="4" t="inlineStr">
        <is>
          <t>T-20</t>
        </is>
      </c>
      <c r="B21" s="4" t="inlineStr">
        <is>
          <t>Anonymous access to OPC UA server</t>
        </is>
      </c>
      <c r="C21" s="4" t="inlineStr">
        <is>
          <t>Spoofing</t>
        </is>
      </c>
      <c r="D21" s="4" t="inlineStr">
        <is>
          <t>OPC UA server</t>
        </is>
      </c>
      <c r="E21" s="4" t="n">
        <v>3</v>
      </c>
      <c r="F21" s="4" t="n">
        <v>4</v>
      </c>
      <c r="G21" s="4">
        <f>E21*F21</f>
        <v/>
      </c>
      <c r="H21" s="4">
        <f>IF(G21&gt;=17,"Critical",IF(G21&gt;=10,"High",IF(G21&gt;=5,"Medium","Low")))</f>
        <v/>
      </c>
      <c r="I21" s="4" t="inlineStr">
        <is>
          <t>SC-15, SC-03</t>
        </is>
      </c>
      <c r="J21" s="4" t="n">
        <v>1</v>
      </c>
      <c r="K21" s="4" t="n">
        <v>4</v>
      </c>
      <c r="L21" s="4">
        <f>J21*K21</f>
        <v/>
      </c>
      <c r="M21" s="4">
        <f>IF(L21&gt;=17,"Critical",IF(L21&gt;=10,"High",IF(L21&gt;=5,"Medium","Low")))</f>
        <v/>
      </c>
      <c r="N21" s="4">
        <f>G21-L21</f>
        <v/>
      </c>
    </row>
    <row r="22">
      <c r="A22" s="4" t="inlineStr">
        <is>
          <t>T-21</t>
        </is>
      </c>
      <c r="B22" s="4" t="inlineStr">
        <is>
          <t>PLC stopped via mode change or firmware flaw</t>
        </is>
      </c>
      <c r="C22" s="4" t="inlineStr">
        <is>
          <t>Denial of Service</t>
        </is>
      </c>
      <c r="D22" s="4" t="inlineStr">
        <is>
          <t>PLC-01 Conveyor, PLC-02 Robotic welding cell, PLC-03 Packaging</t>
        </is>
      </c>
      <c r="E22" s="4" t="n">
        <v>3</v>
      </c>
      <c r="F22" s="4" t="n">
        <v>4</v>
      </c>
      <c r="G22" s="4">
        <f>E22*F22</f>
        <v/>
      </c>
      <c r="H22" s="4">
        <f>IF(G22&gt;=17,"Critical",IF(G22&gt;=10,"High",IF(G22&gt;=5,"Medium","Low")))</f>
        <v/>
      </c>
      <c r="I22" s="4" t="inlineStr">
        <is>
          <t>SC-07, SC-03, SC-13</t>
        </is>
      </c>
      <c r="J22" s="4" t="n">
        <v>1</v>
      </c>
      <c r="K22" s="4" t="n">
        <v>4</v>
      </c>
      <c r="L22" s="4">
        <f>J22*K22</f>
        <v/>
      </c>
      <c r="M22" s="4">
        <f>IF(L22&gt;=17,"Critical",IF(L22&gt;=10,"High",IF(L22&gt;=5,"Medium","Low")))</f>
        <v/>
      </c>
      <c r="N22" s="4">
        <f>G22-L22</f>
        <v/>
      </c>
    </row>
    <row r="23">
      <c r="A23" s="4" t="inlineStr">
        <is>
          <t>T-22</t>
        </is>
      </c>
      <c r="B23" s="4" t="inlineStr">
        <is>
          <t>Covert weld-parameter manipulation (quality escape)</t>
        </is>
      </c>
      <c r="C23" s="4" t="inlineStr">
        <is>
          <t>Tampering</t>
        </is>
      </c>
      <c r="D23" s="4" t="inlineStr">
        <is>
          <t>PLC-02 Robotic welding cell</t>
        </is>
      </c>
      <c r="E23" s="4" t="n">
        <v>2</v>
      </c>
      <c r="F23" s="4" t="n">
        <v>5</v>
      </c>
      <c r="G23" s="4">
        <f>E23*F23</f>
        <v/>
      </c>
      <c r="H23" s="4">
        <f>IF(G23&gt;=17,"Critical",IF(G23&gt;=10,"High",IF(G23&gt;=5,"Medium","Low")))</f>
        <v/>
      </c>
      <c r="I23" s="4" t="inlineStr">
        <is>
          <t>SC-07, SC-03, SC-10</t>
        </is>
      </c>
      <c r="J23" s="4" t="n">
        <v>1</v>
      </c>
      <c r="K23" s="4" t="n">
        <v>5</v>
      </c>
      <c r="L23" s="4">
        <f>J23*K23</f>
        <v/>
      </c>
      <c r="M23" s="4">
        <f>IF(L23&gt;=17,"Critical",IF(L23&gt;=10,"High",IF(L23&gt;=5,"Medium","Low")))</f>
        <v/>
      </c>
      <c r="N23" s="4">
        <f>G23-L23</f>
        <v/>
      </c>
    </row>
    <row r="24">
      <c r="A24" s="4" t="inlineStr">
        <is>
          <t>T-23</t>
        </is>
      </c>
      <c r="B24" s="4" t="inlineStr">
        <is>
          <t>PLC changes not logged or versioned</t>
        </is>
      </c>
      <c r="C24" s="4" t="inlineStr">
        <is>
          <t>Repudiation</t>
        </is>
      </c>
      <c r="D24" s="4" t="inlineStr">
        <is>
          <t>Engineering workstation (EWS), PLC-01 Conveyor, PLC-02 Robotic welding cell, PLC-03 Packaging</t>
        </is>
      </c>
      <c r="E24" s="4" t="n">
        <v>4</v>
      </c>
      <c r="F24" s="4" t="n">
        <v>3</v>
      </c>
      <c r="G24" s="4">
        <f>E24*F24</f>
        <v/>
      </c>
      <c r="H24" s="4">
        <f>IF(G24&gt;=17,"Critical",IF(G24&gt;=10,"High",IF(G24&gt;=5,"Medium","Low")))</f>
        <v/>
      </c>
      <c r="I24" s="4" t="inlineStr">
        <is>
          <t>SC-07, SC-09</t>
        </is>
      </c>
      <c r="J24" s="4" t="n">
        <v>2</v>
      </c>
      <c r="K24" s="4" t="n">
        <v>3</v>
      </c>
      <c r="L24" s="4">
        <f>J24*K24</f>
        <v/>
      </c>
      <c r="M24" s="4">
        <f>IF(L24&gt;=17,"Critical",IF(L24&gt;=10,"High",IF(L24&gt;=5,"Medium","Low")))</f>
        <v/>
      </c>
      <c r="N24" s="4">
        <f>G24-L24</f>
        <v/>
      </c>
    </row>
    <row r="25">
      <c r="A25" s="4" t="inlineStr">
        <is>
          <t>T-24</t>
        </is>
      </c>
      <c r="B25" s="4" t="inlineStr">
        <is>
          <t>Unapproved TeamViewer on engineering workstation</t>
        </is>
      </c>
      <c r="C25" s="4" t="inlineStr">
        <is>
          <t>Spoofing</t>
        </is>
      </c>
      <c r="D25" s="4" t="inlineStr">
        <is>
          <t>Engineering workstation (EWS), Vendor remote support (RoboServ)</t>
        </is>
      </c>
      <c r="E25" s="4" t="n">
        <v>4</v>
      </c>
      <c r="F25" s="4" t="n">
        <v>5</v>
      </c>
      <c r="G25" s="4">
        <f>E25*F25</f>
        <v/>
      </c>
      <c r="H25" s="4">
        <f>IF(G25&gt;=17,"Critical",IF(G25&gt;=10,"High",IF(G25&gt;=5,"Medium","Low")))</f>
        <v/>
      </c>
      <c r="I25" s="4" t="inlineStr">
        <is>
          <t>SC-01, SC-06, SC-02</t>
        </is>
      </c>
      <c r="J25" s="4" t="n">
        <v>1</v>
      </c>
      <c r="K25" s="4" t="n">
        <v>5</v>
      </c>
      <c r="L25" s="4">
        <f>J25*K25</f>
        <v/>
      </c>
      <c r="M25" s="4">
        <f>IF(L25&gt;=17,"Critical",IF(L25&gt;=10,"High",IF(L25&gt;=5,"Medium","Low")))</f>
        <v/>
      </c>
      <c r="N25" s="4">
        <f>G25-L25</f>
        <v/>
      </c>
    </row>
    <row r="26">
      <c r="A26" s="4" t="inlineStr">
        <is>
          <t>T-25</t>
        </is>
      </c>
      <c r="B26" s="4" t="inlineStr">
        <is>
          <t>Remote sessions not recorded</t>
        </is>
      </c>
      <c r="C26" s="4" t="inlineStr">
        <is>
          <t>Repudiation</t>
        </is>
      </c>
      <c r="D26" s="4" t="inlineStr">
        <is>
          <t>Jump server</t>
        </is>
      </c>
      <c r="E26" s="4" t="n">
        <v>3</v>
      </c>
      <c r="F26" s="4" t="n">
        <v>3</v>
      </c>
      <c r="G26" s="4">
        <f>E26*F26</f>
        <v/>
      </c>
      <c r="H26" s="4">
        <f>IF(G26&gt;=17,"Critical",IF(G26&gt;=10,"High",IF(G26&gt;=5,"Medium","Low")))</f>
        <v/>
      </c>
      <c r="I26" s="4" t="inlineStr">
        <is>
          <t>SC-05, SC-09</t>
        </is>
      </c>
      <c r="J26" s="4" t="n">
        <v>1</v>
      </c>
      <c r="K26" s="4" t="n">
        <v>3</v>
      </c>
      <c r="L26" s="4">
        <f>J26*K26</f>
        <v/>
      </c>
      <c r="M26" s="4">
        <f>IF(L26&gt;=17,"Critical",IF(L26&gt;=10,"High",IF(L26&gt;=5,"Medium","Low")))</f>
        <v/>
      </c>
      <c r="N26" s="4">
        <f>G26-L26</f>
        <v/>
      </c>
    </row>
    <row r="27">
      <c r="A27" s="4" t="inlineStr">
        <is>
          <t>T-26</t>
        </is>
      </c>
      <c r="B27" s="4" t="inlineStr">
        <is>
          <t>Exploitation of Internet-facing VPN appliance</t>
        </is>
      </c>
      <c r="C27" s="4" t="inlineStr">
        <is>
          <t>Elevation of Privilege</t>
        </is>
      </c>
      <c r="D27" s="4" t="inlineStr">
        <is>
          <t>Remote-access gateway (SSL VPN)</t>
        </is>
      </c>
      <c r="E27" s="4" t="n">
        <v>3</v>
      </c>
      <c r="F27" s="4" t="n">
        <v>5</v>
      </c>
      <c r="G27" s="4">
        <f>E27*F27</f>
        <v/>
      </c>
      <c r="H27" s="4">
        <f>IF(G27&gt;=17,"Critical",IF(G27&gt;=10,"High",IF(G27&gt;=5,"Medium","Low")))</f>
        <v/>
      </c>
      <c r="I27" s="4" t="inlineStr">
        <is>
          <t>SC-13, SC-01, SC-10</t>
        </is>
      </c>
      <c r="J27" s="4" t="n">
        <v>2</v>
      </c>
      <c r="K27" s="4" t="n">
        <v>5</v>
      </c>
      <c r="L27" s="4">
        <f>J27*K27</f>
        <v/>
      </c>
      <c r="M27" s="4">
        <f>IF(L27&gt;=17,"Critical",IF(L27&gt;=10,"High",IF(L27&gt;=5,"Medium","Low")))</f>
        <v/>
      </c>
      <c r="N27" s="4">
        <f>G27-L27</f>
        <v/>
      </c>
    </row>
    <row r="28">
      <c r="A28" s="4" t="inlineStr">
        <is>
          <t>T-27</t>
        </is>
      </c>
      <c r="B28" s="4" t="inlineStr">
        <is>
          <t>No usable backup of PLC programs and HMI projects</t>
        </is>
      </c>
      <c r="C28" s="4" t="inlineStr">
        <is>
          <t>Denial of Service</t>
        </is>
      </c>
      <c r="D28" s="4" t="inlineStr">
        <is>
          <t>Engineering workstation (EWS), PLC-01 Conveyor, PLC-02 Robotic welding cell, PLC-03 Packaging, SCADA server / HMI (2 operator stations)</t>
        </is>
      </c>
      <c r="E28" s="4" t="n">
        <v>3</v>
      </c>
      <c r="F28" s="4" t="n">
        <v>5</v>
      </c>
      <c r="G28" s="4">
        <f>E28*F28</f>
        <v/>
      </c>
      <c r="H28" s="4">
        <f>IF(G28&gt;=17,"Critical",IF(G28&gt;=10,"High",IF(G28&gt;=5,"Medium","Low")))</f>
        <v/>
      </c>
      <c r="I28" s="4" t="inlineStr">
        <is>
          <t>SC-08</t>
        </is>
      </c>
      <c r="J28" s="4" t="n">
        <v>1</v>
      </c>
      <c r="K28" s="4" t="n">
        <v>3</v>
      </c>
      <c r="L28" s="4">
        <f>J28*K28</f>
        <v/>
      </c>
      <c r="M28" s="4">
        <f>IF(L28&gt;=17,"Critical",IF(L28&gt;=10,"High",IF(L28&gt;=5,"Medium","Low")))</f>
        <v/>
      </c>
      <c r="N28" s="4">
        <f>G28-L28</f>
        <v/>
      </c>
    </row>
    <row r="29">
      <c r="A29" s="4" t="inlineStr">
        <is>
          <t>T-28</t>
        </is>
      </c>
      <c r="B29" s="4" t="inlineStr">
        <is>
          <t>Malware introduced via removable media</t>
        </is>
      </c>
      <c r="C29" s="4" t="inlineStr">
        <is>
          <t>Tampering</t>
        </is>
      </c>
      <c r="D29" s="4" t="inlineStr">
        <is>
          <t>Engineering workstation (EWS), SCADA server / HMI (2 operator stations)</t>
        </is>
      </c>
      <c r="E29" s="4" t="n">
        <v>3</v>
      </c>
      <c r="F29" s="4" t="n">
        <v>4</v>
      </c>
      <c r="G29" s="4">
        <f>E29*F29</f>
        <v/>
      </c>
      <c r="H29" s="4">
        <f>IF(G29&gt;=17,"Critical",IF(G29&gt;=10,"High",IF(G29&gt;=5,"Medium","Low")))</f>
        <v/>
      </c>
      <c r="I29" s="4" t="inlineStr">
        <is>
          <t>SC-06, SC-14</t>
        </is>
      </c>
      <c r="J29" s="4" t="n">
        <v>2</v>
      </c>
      <c r="K29" s="4" t="n">
        <v>4</v>
      </c>
      <c r="L29" s="4">
        <f>J29*K29</f>
        <v/>
      </c>
      <c r="M29" s="4">
        <f>IF(L29&gt;=17,"Critical",IF(L29&gt;=10,"High",IF(L29&gt;=5,"Medium","Low")))</f>
        <v/>
      </c>
      <c r="N29" s="4">
        <f>G29-L29</f>
        <v/>
      </c>
    </row>
    <row r="30">
      <c r="A30" s="4" t="inlineStr">
        <is>
          <t>T-29</t>
        </is>
      </c>
      <c r="B30" s="4" t="inlineStr">
        <is>
          <t>Historian replication used to pivot into OT</t>
        </is>
      </c>
      <c r="C30" s="4" t="inlineStr">
        <is>
          <t>Elevation of Privilege</t>
        </is>
      </c>
      <c r="D30" s="4" t="inlineStr">
        <is>
          <t>Historian replica, Process historian</t>
        </is>
      </c>
      <c r="E30" s="4" t="n">
        <v>3</v>
      </c>
      <c r="F30" s="4" t="n">
        <v>4</v>
      </c>
      <c r="G30" s="4">
        <f>E30*F30</f>
        <v/>
      </c>
      <c r="H30" s="4">
        <f>IF(G30&gt;=17,"Critical",IF(G30&gt;=10,"High",IF(G30&gt;=5,"Medium","Low")))</f>
        <v/>
      </c>
      <c r="I30" s="4" t="inlineStr">
        <is>
          <t>SC-02, SC-04</t>
        </is>
      </c>
      <c r="J30" s="4" t="n">
        <v>1</v>
      </c>
      <c r="K30" s="4" t="n">
        <v>4</v>
      </c>
      <c r="L30" s="4">
        <f>J30*K30</f>
        <v/>
      </c>
      <c r="M30" s="4">
        <f>IF(L30&gt;=17,"Critical",IF(L30&gt;=10,"High",IF(L30&gt;=5,"Medium","Low")))</f>
        <v/>
      </c>
      <c r="N30" s="4">
        <f>G30-L30</f>
        <v/>
      </c>
    </row>
    <row r="31">
      <c r="A31" s="4" t="inlineStr">
        <is>
          <t>T-30</t>
        </is>
      </c>
      <c r="B31" s="4" t="inlineStr">
        <is>
          <t>Rogue device connected in control cabinet</t>
        </is>
      </c>
      <c r="C31" s="4" t="inlineStr">
        <is>
          <t>Tampering</t>
        </is>
      </c>
      <c r="D31" s="4" t="inlineStr">
        <is>
          <t>OT network switches, PLC-01 Conveyor, PLC-02 Robotic welding cell, PLC-03 Packaging</t>
        </is>
      </c>
      <c r="E31" s="4" t="n">
        <v>2</v>
      </c>
      <c r="F31" s="4" t="n">
        <v>4</v>
      </c>
      <c r="G31" s="4">
        <f>E31*F31</f>
        <v/>
      </c>
      <c r="H31" s="4">
        <f>IF(G31&gt;=17,"Critical",IF(G31&gt;=10,"High",IF(G31&gt;=5,"Medium","Low")))</f>
        <v/>
      </c>
      <c r="I31" s="4" t="inlineStr">
        <is>
          <t>SC-03, SC-10</t>
        </is>
      </c>
      <c r="J31" s="4" t="n">
        <v>2</v>
      </c>
      <c r="K31" s="4" t="n">
        <v>4</v>
      </c>
      <c r="L31" s="4">
        <f>J31*K31</f>
        <v/>
      </c>
      <c r="M31" s="4">
        <f>IF(L31&gt;=17,"Critical",IF(L31&gt;=10,"High",IF(L31&gt;=5,"Medium","Low")))</f>
        <v/>
      </c>
      <c r="N31" s="4">
        <f>G31-L31</f>
        <v/>
      </c>
    </row>
  </sheetData>
  <autoFilter ref="A1:N31"/>
  <conditionalFormatting sqref="H2:H31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  <cfRule type="cellIs" priority="4" operator="equal" dxfId="3">
      <formula>"Critical"</formula>
    </cfRule>
  </conditionalFormatting>
  <conditionalFormatting sqref="M2:M31">
    <cfRule type="cellIs" priority="5" operator="equal" dxfId="0">
      <formula>"Low"</formula>
    </cfRule>
    <cfRule type="cellIs" priority="6" operator="equal" dxfId="1">
      <formula>"Medium"</formula>
    </cfRule>
    <cfRule type="cellIs" priority="7" operator="equal" dxfId="2">
      <formula>"High"</formula>
    </cfRule>
    <cfRule type="cellIs" priority="8" operator="equal" dxfId="3">
      <formula>"Critical"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s="5" t="inlineStr">
        <is>
          <t>CURRENT RISK - number of threats (rows = likelihood, columns = impact)</t>
        </is>
      </c>
    </row>
    <row r="2">
      <c r="B2" s="5" t="inlineStr">
        <is>
          <t>I1</t>
        </is>
      </c>
      <c r="C2" s="5" t="inlineStr">
        <is>
          <t>I2</t>
        </is>
      </c>
      <c r="D2" s="5" t="inlineStr">
        <is>
          <t>I3</t>
        </is>
      </c>
      <c r="E2" s="5" t="inlineStr">
        <is>
          <t>I4</t>
        </is>
      </c>
      <c r="F2" s="5" t="inlineStr">
        <is>
          <t>I5</t>
        </is>
      </c>
    </row>
    <row r="3">
      <c r="A3" s="5" t="inlineStr">
        <is>
          <t>L5</t>
        </is>
      </c>
      <c r="B3" s="6">
        <f>COUNTIFS('Risk Register'!E2:E31,5,'Risk Register'!F2:F31,1)</f>
        <v/>
      </c>
      <c r="C3" s="7">
        <f>COUNTIFS('Risk Register'!E2:E31,5,'Risk Register'!F2:F31,2)</f>
        <v/>
      </c>
      <c r="D3" s="7">
        <f>COUNTIFS('Risk Register'!E2:E31,5,'Risk Register'!F2:F31,3)</f>
        <v/>
      </c>
      <c r="E3" s="8">
        <f>COUNTIFS('Risk Register'!E2:E31,5,'Risk Register'!F2:F31,4)</f>
        <v/>
      </c>
      <c r="F3" s="8">
        <f>COUNTIFS('Risk Register'!E2:E31,5,'Risk Register'!F2:F31,5)</f>
        <v/>
      </c>
    </row>
    <row r="4">
      <c r="A4" s="5" t="inlineStr">
        <is>
          <t>L4</t>
        </is>
      </c>
      <c r="B4" s="9">
        <f>COUNTIFS('Risk Register'!E2:E31,4,'Risk Register'!F2:F31,1)</f>
        <v/>
      </c>
      <c r="C4" s="6">
        <f>COUNTIFS('Risk Register'!E2:E31,4,'Risk Register'!F2:F31,2)</f>
        <v/>
      </c>
      <c r="D4" s="7">
        <f>COUNTIFS('Risk Register'!E2:E31,4,'Risk Register'!F2:F31,3)</f>
        <v/>
      </c>
      <c r="E4" s="7">
        <f>COUNTIFS('Risk Register'!E2:E31,4,'Risk Register'!F2:F31,4)</f>
        <v/>
      </c>
      <c r="F4" s="8">
        <f>COUNTIFS('Risk Register'!E2:E31,4,'Risk Register'!F2:F31,5)</f>
        <v/>
      </c>
    </row>
    <row r="5">
      <c r="A5" s="5" t="inlineStr">
        <is>
          <t>L3</t>
        </is>
      </c>
      <c r="B5" s="9">
        <f>COUNTIFS('Risk Register'!E2:E31,3,'Risk Register'!F2:F31,1)</f>
        <v/>
      </c>
      <c r="C5" s="6">
        <f>COUNTIFS('Risk Register'!E2:E31,3,'Risk Register'!F2:F31,2)</f>
        <v/>
      </c>
      <c r="D5" s="6">
        <f>COUNTIFS('Risk Register'!E2:E31,3,'Risk Register'!F2:F31,3)</f>
        <v/>
      </c>
      <c r="E5" s="7">
        <f>COUNTIFS('Risk Register'!E2:E31,3,'Risk Register'!F2:F31,4)</f>
        <v/>
      </c>
      <c r="F5" s="7">
        <f>COUNTIFS('Risk Register'!E2:E31,3,'Risk Register'!F2:F31,5)</f>
        <v/>
      </c>
    </row>
    <row r="6">
      <c r="A6" s="5" t="inlineStr">
        <is>
          <t>L2</t>
        </is>
      </c>
      <c r="B6" s="9">
        <f>COUNTIFS('Risk Register'!E2:E31,2,'Risk Register'!F2:F31,1)</f>
        <v/>
      </c>
      <c r="C6" s="9">
        <f>COUNTIFS('Risk Register'!E2:E31,2,'Risk Register'!F2:F31,2)</f>
        <v/>
      </c>
      <c r="D6" s="6">
        <f>COUNTIFS('Risk Register'!E2:E31,2,'Risk Register'!F2:F31,3)</f>
        <v/>
      </c>
      <c r="E6" s="6">
        <f>COUNTIFS('Risk Register'!E2:E31,2,'Risk Register'!F2:F31,4)</f>
        <v/>
      </c>
      <c r="F6" s="7">
        <f>COUNTIFS('Risk Register'!E2:E31,2,'Risk Register'!F2:F31,5)</f>
        <v/>
      </c>
    </row>
    <row r="7">
      <c r="A7" s="5" t="inlineStr">
        <is>
          <t>L1</t>
        </is>
      </c>
      <c r="B7" s="9">
        <f>COUNTIFS('Risk Register'!E2:E31,1,'Risk Register'!F2:F31,1)</f>
        <v/>
      </c>
      <c r="C7" s="9">
        <f>COUNTIFS('Risk Register'!E2:E31,1,'Risk Register'!F2:F31,2)</f>
        <v/>
      </c>
      <c r="D7" s="9">
        <f>COUNTIFS('Risk Register'!E2:E31,1,'Risk Register'!F2:F31,3)</f>
        <v/>
      </c>
      <c r="E7" s="9">
        <f>COUNTIFS('Risk Register'!E2:E31,1,'Risk Register'!F2:F31,4)</f>
        <v/>
      </c>
      <c r="F7" s="6">
        <f>COUNTIFS('Risk Register'!E2:E31,1,'Risk Register'!F2:F31,5)</f>
        <v/>
      </c>
    </row>
    <row r="10">
      <c r="A10" s="5" t="inlineStr">
        <is>
          <t>RESIDUAL RISK - number of threats (rows = likelihood, columns = impact)</t>
        </is>
      </c>
    </row>
    <row r="11">
      <c r="B11" s="5" t="inlineStr">
        <is>
          <t>I1</t>
        </is>
      </c>
      <c r="C11" s="5" t="inlineStr">
        <is>
          <t>I2</t>
        </is>
      </c>
      <c r="D11" s="5" t="inlineStr">
        <is>
          <t>I3</t>
        </is>
      </c>
      <c r="E11" s="5" t="inlineStr">
        <is>
          <t>I4</t>
        </is>
      </c>
      <c r="F11" s="5" t="inlineStr">
        <is>
          <t>I5</t>
        </is>
      </c>
    </row>
    <row r="12">
      <c r="A12" s="5" t="inlineStr">
        <is>
          <t>L5</t>
        </is>
      </c>
      <c r="B12" s="6">
        <f>COUNTIFS('Risk Register'!J2:J31,5,'Risk Register'!K2:K31,1)</f>
        <v/>
      </c>
      <c r="C12" s="7">
        <f>COUNTIFS('Risk Register'!J2:J31,5,'Risk Register'!K2:K31,2)</f>
        <v/>
      </c>
      <c r="D12" s="7">
        <f>COUNTIFS('Risk Register'!J2:J31,5,'Risk Register'!K2:K31,3)</f>
        <v/>
      </c>
      <c r="E12" s="8">
        <f>COUNTIFS('Risk Register'!J2:J31,5,'Risk Register'!K2:K31,4)</f>
        <v/>
      </c>
      <c r="F12" s="8">
        <f>COUNTIFS('Risk Register'!J2:J31,5,'Risk Register'!K2:K31,5)</f>
        <v/>
      </c>
    </row>
    <row r="13">
      <c r="A13" s="5" t="inlineStr">
        <is>
          <t>L4</t>
        </is>
      </c>
      <c r="B13" s="9">
        <f>COUNTIFS('Risk Register'!J2:J31,4,'Risk Register'!K2:K31,1)</f>
        <v/>
      </c>
      <c r="C13" s="6">
        <f>COUNTIFS('Risk Register'!J2:J31,4,'Risk Register'!K2:K31,2)</f>
        <v/>
      </c>
      <c r="D13" s="7">
        <f>COUNTIFS('Risk Register'!J2:J31,4,'Risk Register'!K2:K31,3)</f>
        <v/>
      </c>
      <c r="E13" s="7">
        <f>COUNTIFS('Risk Register'!J2:J31,4,'Risk Register'!K2:K31,4)</f>
        <v/>
      </c>
      <c r="F13" s="8">
        <f>COUNTIFS('Risk Register'!J2:J31,4,'Risk Register'!K2:K31,5)</f>
        <v/>
      </c>
    </row>
    <row r="14">
      <c r="A14" s="5" t="inlineStr">
        <is>
          <t>L3</t>
        </is>
      </c>
      <c r="B14" s="9">
        <f>COUNTIFS('Risk Register'!J2:J31,3,'Risk Register'!K2:K31,1)</f>
        <v/>
      </c>
      <c r="C14" s="6">
        <f>COUNTIFS('Risk Register'!J2:J31,3,'Risk Register'!K2:K31,2)</f>
        <v/>
      </c>
      <c r="D14" s="6">
        <f>COUNTIFS('Risk Register'!J2:J31,3,'Risk Register'!K2:K31,3)</f>
        <v/>
      </c>
      <c r="E14" s="7">
        <f>COUNTIFS('Risk Register'!J2:J31,3,'Risk Register'!K2:K31,4)</f>
        <v/>
      </c>
      <c r="F14" s="7">
        <f>COUNTIFS('Risk Register'!J2:J31,3,'Risk Register'!K2:K31,5)</f>
        <v/>
      </c>
    </row>
    <row r="15">
      <c r="A15" s="5" t="inlineStr">
        <is>
          <t>L2</t>
        </is>
      </c>
      <c r="B15" s="9">
        <f>COUNTIFS('Risk Register'!J2:J31,2,'Risk Register'!K2:K31,1)</f>
        <v/>
      </c>
      <c r="C15" s="9">
        <f>COUNTIFS('Risk Register'!J2:J31,2,'Risk Register'!K2:K31,2)</f>
        <v/>
      </c>
      <c r="D15" s="6">
        <f>COUNTIFS('Risk Register'!J2:J31,2,'Risk Register'!K2:K31,3)</f>
        <v/>
      </c>
      <c r="E15" s="6">
        <f>COUNTIFS('Risk Register'!J2:J31,2,'Risk Register'!K2:K31,4)</f>
        <v/>
      </c>
      <c r="F15" s="7">
        <f>COUNTIFS('Risk Register'!J2:J31,2,'Risk Register'!K2:K31,5)</f>
        <v/>
      </c>
    </row>
    <row r="16">
      <c r="A16" s="5" t="inlineStr">
        <is>
          <t>L1</t>
        </is>
      </c>
      <c r="B16" s="9">
        <f>COUNTIFS('Risk Register'!J2:J31,1,'Risk Register'!K2:K31,1)</f>
        <v/>
      </c>
      <c r="C16" s="9">
        <f>COUNTIFS('Risk Register'!J2:J31,1,'Risk Register'!K2:K31,2)</f>
        <v/>
      </c>
      <c r="D16" s="9">
        <f>COUNTIFS('Risk Register'!J2:J31,1,'Risk Register'!K2:K31,3)</f>
        <v/>
      </c>
      <c r="E16" s="9">
        <f>COUNTIFS('Risk Register'!J2:J31,1,'Risk Register'!K2:K31,4)</f>
        <v/>
      </c>
      <c r="F16" s="6">
        <f>COUNTIFS('Risk Register'!J2:J31,1,'Risk Register'!K2:K31,5)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46" customWidth="1" min="3" max="3"/>
    <col width="7" customWidth="1" min="4" max="4"/>
    <col width="10" customWidth="1" min="5" max="5"/>
    <col width="18" customWidth="1" min="6" max="6"/>
    <col width="12" customWidth="1" min="7" max="7"/>
    <col width="22" customWidth="1" min="8" max="8"/>
  </cols>
  <sheetData>
    <row r="1">
      <c r="A1" s="3" t="inlineStr">
        <is>
          <t>Rank</t>
        </is>
      </c>
      <c r="B1" s="3" t="inlineStr">
        <is>
          <t>Threat ID</t>
        </is>
      </c>
      <c r="C1" s="3" t="inlineStr">
        <is>
          <t>Risk</t>
        </is>
      </c>
      <c r="D1" s="3" t="inlineStr">
        <is>
          <t>Score</t>
        </is>
      </c>
      <c r="E1" s="3" t="inlineStr">
        <is>
          <t>Rating</t>
        </is>
      </c>
      <c r="F1" s="3" t="inlineStr">
        <is>
          <t>Scenarios</t>
        </is>
      </c>
      <c r="G1" s="3" t="inlineStr">
        <is>
          <t>Residual</t>
        </is>
      </c>
      <c r="H1" s="3" t="inlineStr">
        <is>
          <t>Key controls</t>
        </is>
      </c>
    </row>
    <row r="2">
      <c r="A2" s="4" t="n">
        <v>1</v>
      </c>
      <c r="B2" s="4" t="inlineStr">
        <is>
          <t>T-08</t>
        </is>
      </c>
      <c r="C2" s="4" t="inlineStr">
        <is>
          <t>Corporate AD compromise grants OT access</t>
        </is>
      </c>
      <c r="D2" s="4" t="n">
        <v>20</v>
      </c>
      <c r="E2" s="4" t="inlineStr">
        <is>
          <t>Critical</t>
        </is>
      </c>
      <c r="F2" s="4" t="inlineStr">
        <is>
          <t>AS-02, AS-05</t>
        </is>
      </c>
      <c r="G2" s="4" t="inlineStr">
        <is>
          <t>5 Medium</t>
        </is>
      </c>
      <c r="H2" s="4" t="inlineStr">
        <is>
          <t>SC-02, SC-04</t>
        </is>
      </c>
    </row>
    <row r="3">
      <c r="A3" s="4" t="n">
        <v>2</v>
      </c>
      <c r="B3" s="4" t="inlineStr">
        <is>
          <t>T-10</t>
        </is>
      </c>
      <c r="C3" s="4" t="inlineStr">
        <is>
          <t>Permissive IT/OT firewall rules bypass IDMZ</t>
        </is>
      </c>
      <c r="D3" s="4" t="n">
        <v>20</v>
      </c>
      <c r="E3" s="4" t="inlineStr">
        <is>
          <t>Critical</t>
        </is>
      </c>
      <c r="F3" s="4" t="inlineStr">
        <is>
          <t>AS-02, AS-05</t>
        </is>
      </c>
      <c r="G3" s="4" t="inlineStr">
        <is>
          <t>5 Medium</t>
        </is>
      </c>
      <c r="H3" s="4" t="inlineStr">
        <is>
          <t>SC-02</t>
        </is>
      </c>
    </row>
    <row r="4">
      <c r="A4" s="4" t="n">
        <v>3</v>
      </c>
      <c r="B4" s="4" t="inlineStr">
        <is>
          <t>T-01</t>
        </is>
      </c>
      <c r="C4" s="4" t="inlineStr">
        <is>
          <t>Stolen vendor credentials used on VPN</t>
        </is>
      </c>
      <c r="D4" s="4" t="n">
        <v>20</v>
      </c>
      <c r="E4" s="4" t="inlineStr">
        <is>
          <t>Critical</t>
        </is>
      </c>
      <c r="F4" s="4" t="inlineStr">
        <is>
          <t>AS-01</t>
        </is>
      </c>
      <c r="G4" s="4" t="inlineStr">
        <is>
          <t>10 High</t>
        </is>
      </c>
      <c r="H4" s="4" t="inlineStr">
        <is>
          <t>SC-01, SC-04, SC-16</t>
        </is>
      </c>
    </row>
    <row r="5">
      <c r="A5" s="4" t="n">
        <v>4</v>
      </c>
      <c r="B5" s="4" t="inlineStr">
        <is>
          <t>T-17</t>
        </is>
      </c>
      <c r="C5" s="4" t="inlineStr">
        <is>
          <t>Ransomware encrypts SCADA/HMI</t>
        </is>
      </c>
      <c r="D5" s="4" t="n">
        <v>20</v>
      </c>
      <c r="E5" s="4" t="inlineStr">
        <is>
          <t>Critical</t>
        </is>
      </c>
      <c r="F5" s="4" t="inlineStr">
        <is>
          <t>AS-05</t>
        </is>
      </c>
      <c r="G5" s="4" t="inlineStr">
        <is>
          <t>8 Medium</t>
        </is>
      </c>
      <c r="H5" s="4" t="inlineStr">
        <is>
          <t>SC-02, SC-06, SC-08, SC-14</t>
        </is>
      </c>
    </row>
    <row r="6">
      <c r="A6" s="4" t="n">
        <v>5</v>
      </c>
      <c r="B6" s="4" t="inlineStr">
        <is>
          <t>T-24</t>
        </is>
      </c>
      <c r="C6" s="4" t="inlineStr">
        <is>
          <t>Unapproved TeamViewer on engineering workstation</t>
        </is>
      </c>
      <c r="D6" s="4" t="n">
        <v>20</v>
      </c>
      <c r="E6" s="4" t="inlineStr">
        <is>
          <t>Critical</t>
        </is>
      </c>
      <c r="F6" s="4" t="inlineStr">
        <is>
          <t>AS-01</t>
        </is>
      </c>
      <c r="G6" s="4" t="inlineStr">
        <is>
          <t>5 Medium</t>
        </is>
      </c>
      <c r="H6" s="4" t="inlineStr">
        <is>
          <t>SC-01, SC-06, SC-02</t>
        </is>
      </c>
    </row>
    <row r="7">
      <c r="A7" s="4" t="n">
        <v>6</v>
      </c>
      <c r="B7" s="4" t="inlineStr">
        <is>
          <t>T-02</t>
        </is>
      </c>
      <c r="C7" s="4" t="inlineStr">
        <is>
          <t>Unauthorized PLC logic modification</t>
        </is>
      </c>
      <c r="D7" s="4" t="n">
        <v>15</v>
      </c>
      <c r="E7" s="4" t="inlineStr">
        <is>
          <t>High</t>
        </is>
      </c>
      <c r="F7" s="4" t="inlineStr">
        <is>
          <t>AS-01, AS-03</t>
        </is>
      </c>
      <c r="G7" s="4" t="inlineStr">
        <is>
          <t>5 Medium</t>
        </is>
      </c>
      <c r="H7" s="4" t="inlineStr">
        <is>
          <t>SC-07, SC-03, SC-10</t>
        </is>
      </c>
    </row>
    <row r="8">
      <c r="A8" s="4" t="n">
        <v>7</v>
      </c>
      <c r="B8" s="4" t="inlineStr">
        <is>
          <t>T-06</t>
        </is>
      </c>
      <c r="C8" s="4" t="inlineStr">
        <is>
          <t>Malware gains admin rights on engineering workstation</t>
        </is>
      </c>
      <c r="D8" s="4" t="n">
        <v>15</v>
      </c>
      <c r="E8" s="4" t="inlineStr">
        <is>
          <t>High</t>
        </is>
      </c>
      <c r="F8" s="4" t="inlineStr">
        <is>
          <t>AS-01, AS-03</t>
        </is>
      </c>
      <c r="G8" s="4" t="inlineStr">
        <is>
          <t>10 High</t>
        </is>
      </c>
      <c r="H8" s="4" t="inlineStr">
        <is>
          <t>SC-06, SC-04, SC-13</t>
        </is>
      </c>
    </row>
    <row r="9">
      <c r="A9" s="4" t="n">
        <v>8</v>
      </c>
      <c r="B9" s="4" t="inlineStr">
        <is>
          <t>T-15</t>
        </is>
      </c>
      <c r="C9" s="4" t="inlineStr">
        <is>
          <t>Unauthenticated Modbus write commands</t>
        </is>
      </c>
      <c r="D9" s="4" t="n">
        <v>15</v>
      </c>
      <c r="E9" s="4" t="inlineStr">
        <is>
          <t>High</t>
        </is>
      </c>
      <c r="F9" s="4" t="inlineStr">
        <is>
          <t>AS-02, AS-04</t>
        </is>
      </c>
      <c r="G9" s="4" t="inlineStr">
        <is>
          <t>5 Medium</t>
        </is>
      </c>
      <c r="H9" s="4" t="inlineStr">
        <is>
          <t>SC-03, SC-10</t>
        </is>
      </c>
    </row>
    <row r="10">
      <c r="A10" s="4" t="n">
        <v>9</v>
      </c>
      <c r="B10" s="4" t="inlineStr">
        <is>
          <t>T-27</t>
        </is>
      </c>
      <c r="C10" s="4" t="inlineStr">
        <is>
          <t>No usable backup of PLC programs and HMI projects</t>
        </is>
      </c>
      <c r="D10" s="4" t="n">
        <v>15</v>
      </c>
      <c r="E10" s="4" t="inlineStr">
        <is>
          <t>High</t>
        </is>
      </c>
      <c r="F10" s="4" t="inlineStr">
        <is>
          <t>AS-03, AS-05</t>
        </is>
      </c>
      <c r="G10" s="4" t="inlineStr">
        <is>
          <t>3 Low</t>
        </is>
      </c>
      <c r="H10" s="4" t="inlineStr">
        <is>
          <t>SC-08</t>
        </is>
      </c>
    </row>
    <row r="11">
      <c r="A11" s="4" t="n">
        <v>10</v>
      </c>
      <c r="B11" s="4" t="inlineStr">
        <is>
          <t>T-07</t>
        </is>
      </c>
      <c r="C11" s="4" t="inlineStr">
        <is>
          <t>Jump server used as pivot into OT</t>
        </is>
      </c>
      <c r="D11" s="4" t="n">
        <v>15</v>
      </c>
      <c r="E11" s="4" t="inlineStr">
        <is>
          <t>High</t>
        </is>
      </c>
      <c r="F11" s="4" t="inlineStr">
        <is>
          <t>AS-02</t>
        </is>
      </c>
      <c r="G11" s="4" t="inlineStr">
        <is>
          <t>5 Medium</t>
        </is>
      </c>
      <c r="H11" s="4" t="inlineStr">
        <is>
          <t>SC-05, SC-02, SC-04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  <col width="24" customWidth="1" min="4" max="4"/>
    <col width="26" customWidth="1" min="5" max="5"/>
    <col width="20" customWidth="1" min="6" max="6"/>
    <col width="30" customWidth="1" min="7" max="7"/>
  </cols>
  <sheetData>
    <row r="1">
      <c r="A1" s="3" t="inlineStr">
        <is>
          <t>Control</t>
        </is>
      </c>
      <c r="B1" s="3" t="inlineStr">
        <is>
          <t>Name</t>
        </is>
      </c>
      <c r="C1" s="3" t="inlineStr">
        <is>
          <t>Description</t>
        </is>
      </c>
      <c r="D1" s="3" t="inlineStr">
        <is>
          <t>IEC 62443</t>
        </is>
      </c>
      <c r="E1" s="3" t="inlineStr">
        <is>
          <t>NIST SP 800-53 (800-82r3 overlay)</t>
        </is>
      </c>
      <c r="F1" s="3" t="inlineStr">
        <is>
          <t>NIST CSF 2.0</t>
        </is>
      </c>
      <c r="G1" s="3" t="inlineStr">
        <is>
          <t>Threats mitigated</t>
        </is>
      </c>
    </row>
    <row r="2">
      <c r="A2" s="4" t="inlineStr">
        <is>
          <t>SC-01</t>
        </is>
      </c>
      <c r="B2" s="4" t="inlineStr">
        <is>
          <t>Secure vendor remote access</t>
        </is>
      </c>
      <c r="C2" s="4" t="inlineStr">
        <is>
          <t>Named per-engineer vendor accounts, MFA on the VPN, accounts disabled by default and enabled per approved ticket, source-IP restriction, removal of unapproved remote tools (TeamViewer).</t>
        </is>
      </c>
      <c r="D2" s="4" t="inlineStr">
        <is>
          <t>SR 1.1 RE2, SR 1.13, SR 2.6</t>
        </is>
      </c>
      <c r="E2" s="4" t="inlineStr">
        <is>
          <t>AC-17, IA-2(1), IA-2(2), PS-7</t>
        </is>
      </c>
      <c r="F2" s="4" t="inlineStr">
        <is>
          <t>PR.AA-03, GV.SC</t>
        </is>
      </c>
      <c r="G2" s="4" t="inlineStr">
        <is>
          <t>T-01, T-24, T-26</t>
        </is>
      </c>
    </row>
    <row r="3">
      <c r="A3" s="4" t="inlineStr">
        <is>
          <t>SC-02</t>
        </is>
      </c>
      <c r="B3" s="4" t="inlineStr">
        <is>
          <t>IT/OT segmentation via the IDMZ</t>
        </is>
      </c>
      <c r="C3" s="4" t="inlineStr">
        <is>
          <t>Deny-by-default IT/OT firewall; no direct Enterprise-&gt;OT traffic; OT hosts moved to a separate OT identity domain; OT-initiated historian push only.</t>
        </is>
      </c>
      <c r="D3" s="4" t="inlineStr">
        <is>
          <t>SR 5.1, SR 5.2</t>
        </is>
      </c>
      <c r="E3" s="4" t="inlineStr">
        <is>
          <t>SC-7, AC-4</t>
        </is>
      </c>
      <c r="F3" s="4" t="inlineStr">
        <is>
          <t>PR.IR-01</t>
        </is>
      </c>
      <c r="G3" s="4" t="inlineStr">
        <is>
          <t>T-07, T-08, T-10, T-17, T-18, T-24, T-29</t>
        </is>
      </c>
    </row>
    <row r="4">
      <c r="A4" s="4" t="inlineStr">
        <is>
          <t>SC-03</t>
        </is>
      </c>
      <c r="B4" s="4" t="inlineStr">
        <is>
          <t>Control-zone conduit and switch hardening</t>
        </is>
      </c>
      <c r="C4" s="4" t="inlineStr">
        <is>
          <t>Firewall between Site Operations and Control zone with protocol allowlist (SCADA/OPC -&gt; PLC Modbus; EWS -&gt; PLC engineering protocol only), switch port security, unused ports disabled, cabinets locked.</t>
        </is>
      </c>
      <c r="D4" s="4" t="inlineStr">
        <is>
          <t>SR 5.1, SR 5.2, SR 7.7</t>
        </is>
      </c>
      <c r="E4" s="4" t="inlineStr">
        <is>
          <t>SC-7, CM-7, PE-3</t>
        </is>
      </c>
      <c r="F4" s="4" t="inlineStr">
        <is>
          <t>PR.IR-01, PR.AA-06</t>
        </is>
      </c>
      <c r="G4" s="4" t="inlineStr">
        <is>
          <t>T-02, T-05, T-15, T-16, T-20, T-21, T-22, T-30</t>
        </is>
      </c>
    </row>
    <row r="5">
      <c r="A5" s="4" t="inlineStr">
        <is>
          <t>SC-04</t>
        </is>
      </c>
      <c r="B5" s="4" t="inlineStr">
        <is>
          <t>Privileged access management &amp; least privilege</t>
        </is>
      </c>
      <c r="C5" s="4" t="inlineStr">
        <is>
          <t>Remove shared/excess admin accounts, no local admin for operators, credential vaulting and just-in-time elevation for OT and vendor admins, password rotation for service accounts.</t>
        </is>
      </c>
      <c r="D5" s="4" t="inlineStr">
        <is>
          <t>SR 1.3, SR 1.5, SR 2.1</t>
        </is>
      </c>
      <c r="E5" s="4" t="inlineStr">
        <is>
          <t>AC-2, AC-6, IA-5</t>
        </is>
      </c>
      <c r="F5" s="4" t="inlineStr">
        <is>
          <t>PR.AA-01, PR.AA-05</t>
        </is>
      </c>
      <c r="G5" s="4" t="inlineStr">
        <is>
          <t>T-01, T-06, T-07, T-08, T-12, T-29</t>
        </is>
      </c>
    </row>
    <row r="6">
      <c r="A6" s="4" t="inlineStr">
        <is>
          <t>SC-05</t>
        </is>
      </c>
      <c r="B6" s="4" t="inlineStr">
        <is>
          <t>Hardened jump server</t>
        </is>
      </c>
      <c r="C6" s="4" t="inlineStr">
        <is>
          <t>Jump server off the corporate domain, MFA, session recording, clipboard/drive mapping disabled by default, can only reach approved OT targets.</t>
        </is>
      </c>
      <c r="D6" s="4" t="inlineStr">
        <is>
          <t>SR 1.13, SR 2.8, SR 5.2</t>
        </is>
      </c>
      <c r="E6" s="4" t="inlineStr">
        <is>
          <t>AC-17, AU-14, SC-7</t>
        </is>
      </c>
      <c r="F6" s="4" t="inlineStr">
        <is>
          <t>PR.AA-03, PR.PS-04</t>
        </is>
      </c>
      <c r="G6" s="4" t="inlineStr">
        <is>
          <t>T-07, T-25</t>
        </is>
      </c>
    </row>
    <row r="7">
      <c r="A7" s="4" t="inlineStr">
        <is>
          <t>SC-06</t>
        </is>
      </c>
      <c r="B7" s="4" t="inlineStr">
        <is>
          <t>Engineering workstation &amp; HMI hardening</t>
        </is>
      </c>
      <c r="C7" s="4" t="inlineStr">
        <is>
          <t>Application allowlisting, USB device control with a scanning kiosk, no Internet egress, OS patching in maintenance windows, unnecessary services removed.</t>
        </is>
      </c>
      <c r="D7" s="4" t="inlineStr">
        <is>
          <t>SR 3.2, SR 2.3, SR 7.7</t>
        </is>
      </c>
      <c r="E7" s="4" t="inlineStr">
        <is>
          <t>CM-7(5), SI-3, MP-7</t>
        </is>
      </c>
      <c r="F7" s="4" t="inlineStr">
        <is>
          <t>PR.PS-05, PR.PS-01</t>
        </is>
      </c>
      <c r="G7" s="4" t="inlineStr">
        <is>
          <t>T-06, T-17, T-24, T-28</t>
        </is>
      </c>
    </row>
    <row r="8">
      <c r="A8" s="4" t="inlineStr">
        <is>
          <t>SC-07</t>
        </is>
      </c>
      <c r="B8" s="4" t="inlineStr">
        <is>
          <t>PLC change management &amp; integrity</t>
        </is>
      </c>
      <c r="C8" s="4" t="inlineStr">
        <is>
          <t>PLC key switches in RUN, REMOTE/PROG only during approved change windows; version-controlled PLC projects; scheduled online-vs-golden program compare.</t>
        </is>
      </c>
      <c r="D8" s="4" t="inlineStr">
        <is>
          <t>SR 3.4, SR 2.8, SR 1.1</t>
        </is>
      </c>
      <c r="E8" s="4" t="inlineStr">
        <is>
          <t>CM-3, CM-5, SI-7</t>
        </is>
      </c>
      <c r="F8" s="4" t="inlineStr">
        <is>
          <t>PR.PS-01, DE.CM-09</t>
        </is>
      </c>
      <c r="G8" s="4" t="inlineStr">
        <is>
          <t>T-02, T-21, T-22, T-23</t>
        </is>
      </c>
    </row>
    <row r="9">
      <c r="A9" s="4" t="inlineStr">
        <is>
          <t>SC-08</t>
        </is>
      </c>
      <c r="B9" s="4" t="inlineStr">
        <is>
          <t>OT backup &amp; recovery</t>
        </is>
      </c>
      <c r="C9" s="4" t="inlineStr">
        <is>
          <t>Offline/immutable backups of PLC programs, HMI/SCADA projects, historian configuration and OT server images; quarterly restore tests.</t>
        </is>
      </c>
      <c r="D9" s="4" t="inlineStr">
        <is>
          <t>SR 7.3, SR 7.4</t>
        </is>
      </c>
      <c r="E9" s="4" t="inlineStr">
        <is>
          <t>CP-9, CP-10</t>
        </is>
      </c>
      <c r="F9" s="4" t="inlineStr">
        <is>
          <t>PR.DS-11, RC.RP</t>
        </is>
      </c>
      <c r="G9" s="4" t="inlineStr">
        <is>
          <t>T-17, T-18, T-27</t>
        </is>
      </c>
    </row>
    <row r="10">
      <c r="A10" s="4" t="inlineStr">
        <is>
          <t>SC-09</t>
        </is>
      </c>
      <c r="B10" s="4" t="inlineStr">
        <is>
          <t>Centralised security logging</t>
        </is>
      </c>
      <c r="C10" s="4" t="inlineStr">
        <is>
          <t>OT log collector in the IDMZ forwarding Windows, firewall, VPN, jump server and HMI audit logs to the SIEM; named HMI user logins.</t>
        </is>
      </c>
      <c r="D10" s="4" t="inlineStr">
        <is>
          <t>SR 2.8, SR 2.12, SR 6.1</t>
        </is>
      </c>
      <c r="E10" s="4" t="inlineStr">
        <is>
          <t>AU-2, AU-6, AU-12</t>
        </is>
      </c>
      <c r="F10" s="4" t="inlineStr">
        <is>
          <t>PR.PS-04, DE.AE</t>
        </is>
      </c>
      <c r="G10" s="4" t="inlineStr">
        <is>
          <t>T-03, T-04, T-19, T-23, T-25</t>
        </is>
      </c>
    </row>
    <row r="11">
      <c r="A11" s="4" t="inlineStr">
        <is>
          <t>SC-10</t>
        </is>
      </c>
      <c r="B11" s="4" t="inlineStr">
        <is>
          <t>OT network monitoring (passive IDS)</t>
        </is>
      </c>
      <c r="C11" s="4" t="inlineStr">
        <is>
          <t>Passive OT-aware monitoring on SPAN ports in Z3/Z4 with protocol decoding (Modbus, engineering protocol), alerting on program downloads, mode changes and new hosts.</t>
        </is>
      </c>
      <c r="D11" s="4" t="inlineStr">
        <is>
          <t>SR 6.2</t>
        </is>
      </c>
      <c r="E11" s="4" t="inlineStr">
        <is>
          <t>SI-4</t>
        </is>
      </c>
      <c r="F11" s="4" t="inlineStr">
        <is>
          <t>DE.CM-01</t>
        </is>
      </c>
      <c r="G11" s="4" t="inlineStr">
        <is>
          <t>T-02, T-05, T-15, T-16, T-22, T-26, T-30</t>
        </is>
      </c>
    </row>
    <row r="12">
      <c r="A12" s="4" t="inlineStr">
        <is>
          <t>SC-11</t>
        </is>
      </c>
      <c r="B12" s="4" t="inlineStr">
        <is>
          <t>IIoT gateway security architecture</t>
        </is>
      </c>
      <c r="C12" s="4" t="inlineStr">
        <is>
          <t>Remove LTE bypass; route gateway via IDMZ broker; gateway read-only toward OT; certificate-based device identity; signed firmware; inbound management disabled; default credentials removed.</t>
        </is>
      </c>
      <c r="D12" s="4" t="inlineStr">
        <is>
          <t>SR 5.2, SR 1.2, SR 3.1, SR 3.4</t>
        </is>
      </c>
      <c r="E12" s="4" t="inlineStr">
        <is>
          <t>SC-7, IA-3, SC-8, SI-7</t>
        </is>
      </c>
      <c r="F12" s="4" t="inlineStr">
        <is>
          <t>PR.IR-01, PR.DS-02</t>
        </is>
      </c>
      <c r="G12" s="4" t="inlineStr">
        <is>
          <t>T-11, T-12, T-13, T-14</t>
        </is>
      </c>
    </row>
    <row r="13">
      <c r="A13" s="4" t="inlineStr">
        <is>
          <t>SC-12</t>
        </is>
      </c>
      <c r="B13" s="4" t="inlineStr">
        <is>
          <t>Enterprise phishing &amp; endpoint defence</t>
        </is>
      </c>
      <c r="C13" s="4" t="inlineStr">
        <is>
          <t>Email authentication (SPF/DKIM/DMARC) and sandboxing, EDR on corporate endpoints, awareness training with phishing simulation.</t>
        </is>
      </c>
      <c r="D13" s="4" t="inlineStr">
        <is>
          <t>n/a (Enterprise zone)</t>
        </is>
      </c>
      <c r="E13" s="4" t="inlineStr">
        <is>
          <t>SI-3, SI-8, AT-2</t>
        </is>
      </c>
      <c r="F13" s="4" t="inlineStr">
        <is>
          <t>PR.AT-01, DE.CM-09</t>
        </is>
      </c>
      <c r="G13" s="4" t="inlineStr">
        <is>
          <t>T-09</t>
        </is>
      </c>
    </row>
    <row r="14">
      <c r="A14" s="4" t="inlineStr">
        <is>
          <t>SC-13</t>
        </is>
      </c>
      <c r="B14" s="4" t="inlineStr">
        <is>
          <t>OT asset inventory &amp; vulnerability management</t>
        </is>
      </c>
      <c r="C14" s="4" t="inlineStr">
        <is>
          <t>Maintained inventory of OT assets/firmware; risk-based patching with a 14-day SLA for Internet-facing devices; vendor advisory subscriptions.</t>
        </is>
      </c>
      <c r="D14" s="4" t="inlineStr">
        <is>
          <t>SR 7.8, IEC 62443-2-3</t>
        </is>
      </c>
      <c r="E14" s="4" t="inlineStr">
        <is>
          <t>CM-8, RA-5, SI-2</t>
        </is>
      </c>
      <c r="F14" s="4" t="inlineStr">
        <is>
          <t>ID.AM-01, ID.RA-01</t>
        </is>
      </c>
      <c r="G14" s="4" t="inlineStr">
        <is>
          <t>T-06, T-11, T-21, T-26</t>
        </is>
      </c>
    </row>
    <row r="15">
      <c r="A15" s="4" t="inlineStr">
        <is>
          <t>SC-14</t>
        </is>
      </c>
      <c r="B15" s="4" t="inlineStr">
        <is>
          <t>OT incident response &amp; manual operations</t>
        </is>
      </c>
      <c r="C15" s="4" t="inlineStr">
        <is>
          <t>OT-specific IR playbooks (ransomware, PLC manipulation), decision authority for isolating IT/OT, manual-operation procedures, annual tabletop exercise.</t>
        </is>
      </c>
      <c r="D15" s="4" t="inlineStr">
        <is>
          <t>IEC 62443-2-1 (incident handling)</t>
        </is>
      </c>
      <c r="E15" s="4" t="inlineStr">
        <is>
          <t>IR-4, IR-8, CP-2</t>
        </is>
      </c>
      <c r="F15" s="4" t="inlineStr">
        <is>
          <t>RS.MA, RC.RP</t>
        </is>
      </c>
      <c r="G15" s="4" t="inlineStr">
        <is>
          <t>T-17, T-28</t>
        </is>
      </c>
    </row>
    <row r="16">
      <c r="A16" s="4" t="inlineStr">
        <is>
          <t>SC-15</t>
        </is>
      </c>
      <c r="B16" s="4" t="inlineStr">
        <is>
          <t>Application-level access control (HMI, OPC UA, historian)</t>
        </is>
      </c>
      <c r="C16" s="4" t="inlineStr">
        <is>
          <t>Named role-based HMI accounts, OPC UA SecurityMode SignAndEncrypt with user authentication and no anonymous access, write access removed where not needed, historian replica access by role.</t>
        </is>
      </c>
      <c r="D16" s="4" t="inlineStr">
        <is>
          <t>SR 1.1, SR 2.1, SR 3.1, SR 4.1</t>
        </is>
      </c>
      <c r="E16" s="4" t="inlineStr">
        <is>
          <t>AC-3, AC-6, SC-8</t>
        </is>
      </c>
      <c r="F16" s="4" t="inlineStr">
        <is>
          <t>PR.AA-05, PR.DS-02</t>
        </is>
      </c>
      <c r="G16" s="4" t="inlineStr">
        <is>
          <t>T-03, T-04, T-19, T-20</t>
        </is>
      </c>
    </row>
    <row r="17">
      <c r="A17" s="4" t="inlineStr">
        <is>
          <t>SC-16</t>
        </is>
      </c>
      <c r="B17" s="4" t="inlineStr">
        <is>
          <t>Supplier security requirements</t>
        </is>
      </c>
      <c r="C17" s="4" t="inlineStr">
        <is>
          <t>IEC 62443-2-4 aligned security clauses for RoboServ and the IIoT/cloud provider: named accounts, MFA, breach notification, secure update process, annual review.</t>
        </is>
      </c>
      <c r="D17" s="4" t="inlineStr">
        <is>
          <t>IEC 62443-2-4</t>
        </is>
      </c>
      <c r="E17" s="4" t="inlineStr">
        <is>
          <t>SA-9, SR-6</t>
        </is>
      </c>
      <c r="F17" s="4" t="inlineStr">
        <is>
          <t>GV.SC-05</t>
        </is>
      </c>
      <c r="G17" s="4" t="inlineStr">
        <is>
          <t>T-01, T-12, T-13</t>
        </is>
      </c>
    </row>
    <row r="18">
      <c r="A18" s="4" t="inlineStr">
        <is>
          <t>SC-17</t>
        </is>
      </c>
      <c r="B18" s="4" t="inlineStr">
        <is>
          <t>Network resilience for control traffic</t>
        </is>
      </c>
      <c r="C18" s="4" t="inlineStr">
        <is>
          <t>Broadcast/storm control and rate limiting on OT switches, QoS for control traffic, PLC communication watchdogs with fail-safe behaviour.</t>
        </is>
      </c>
      <c r="D18" s="4" t="inlineStr">
        <is>
          <t>SR 7.1, SR 7.2</t>
        </is>
      </c>
      <c r="E18" s="4" t="inlineStr">
        <is>
          <t>SC-5</t>
        </is>
      </c>
      <c r="F18" s="4" t="inlineStr">
        <is>
          <t>PR.IR-03</t>
        </is>
      </c>
      <c r="G18" s="4" t="inlineStr">
        <is>
          <t>T-05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80" customWidth="1" min="3" max="3"/>
    <col width="16" customWidth="1" min="4" max="4"/>
    <col width="36" customWidth="1" min="5" max="5"/>
    <col width="22" customWidth="1" min="6" max="6"/>
    <col width="9" customWidth="1" min="7" max="7"/>
  </cols>
  <sheetData>
    <row r="1">
      <c r="A1" s="3" t="inlineStr">
        <is>
          <t>ID</t>
        </is>
      </c>
      <c r="B1" s="3" t="inlineStr">
        <is>
          <t>Horizon</t>
        </is>
      </c>
      <c r="C1" s="3" t="inlineStr">
        <is>
          <t>Action</t>
        </is>
      </c>
      <c r="D1" s="3" t="inlineStr">
        <is>
          <t>Controls</t>
        </is>
      </c>
      <c r="E1" s="3" t="inlineStr">
        <is>
          <t>Threats addressed</t>
        </is>
      </c>
      <c r="F1" s="3" t="inlineStr">
        <is>
          <t>Owner</t>
        </is>
      </c>
      <c r="G1" s="3" t="inlineStr">
        <is>
          <t>Effort</t>
        </is>
      </c>
    </row>
    <row r="2">
      <c r="A2" s="4" t="inlineStr">
        <is>
          <t>R-01</t>
        </is>
      </c>
      <c r="B2" s="4" t="inlineStr">
        <is>
          <t>0-30 days</t>
        </is>
      </c>
      <c r="C2" s="4" t="inlineStr">
        <is>
          <t>Enforce MFA on the VPN; replace the shared vendor account with named accounts that are disabled by default and enabled per approved ticket.</t>
        </is>
      </c>
      <c r="D2" s="4" t="inlineStr">
        <is>
          <t>SC-01</t>
        </is>
      </c>
      <c r="E2" s="4" t="inlineStr">
        <is>
          <t>T-01, T-24, T-26</t>
        </is>
      </c>
      <c r="F2" s="4" t="inlineStr">
        <is>
          <t>IT Security Manager</t>
        </is>
      </c>
      <c r="G2" s="4" t="inlineStr">
        <is>
          <t>Low</t>
        </is>
      </c>
    </row>
    <row r="3">
      <c r="A3" s="4" t="inlineStr">
        <is>
          <t>R-02</t>
        </is>
      </c>
      <c r="B3" s="4" t="inlineStr">
        <is>
          <t>0-30 days</t>
        </is>
      </c>
      <c r="C3" s="4" t="inlineStr">
        <is>
          <t>Uninstall TeamViewer from the EWS; block known remote-access tools outbound at the IT/OT firewall.</t>
        </is>
      </c>
      <c r="D3" s="4" t="inlineStr">
        <is>
          <t>SC-01, SC-02</t>
        </is>
      </c>
      <c r="E3" s="4" t="inlineStr">
        <is>
          <t>T-01, T-07, T-08, T-10, T-17, T-18, T-24, T-26, T-29</t>
        </is>
      </c>
      <c r="F3" s="4" t="inlineStr">
        <is>
          <t>OT Engineering Lead</t>
        </is>
      </c>
      <c r="G3" s="4" t="inlineStr">
        <is>
          <t>Low</t>
        </is>
      </c>
    </row>
    <row r="4">
      <c r="A4" s="4" t="inlineStr">
        <is>
          <t>R-03</t>
        </is>
      </c>
      <c r="B4" s="4" t="inlineStr">
        <is>
          <t>0-30 days</t>
        </is>
      </c>
      <c r="C4" s="4" t="inlineStr">
        <is>
          <t>Patch the remote-access gateway; restrict the VPN portal to RoboServ source IPs; subscribe to the appliance vendor's advisories.</t>
        </is>
      </c>
      <c r="D4" s="4" t="inlineStr">
        <is>
          <t>SC-13, SC-01</t>
        </is>
      </c>
      <c r="E4" s="4" t="inlineStr">
        <is>
          <t>T-01, T-06, T-11, T-21, T-24, T-26</t>
        </is>
      </c>
      <c r="F4" s="4" t="inlineStr">
        <is>
          <t>IT Infrastructure</t>
        </is>
      </c>
      <c r="G4" s="4" t="inlineStr">
        <is>
          <t>Low</t>
        </is>
      </c>
    </row>
    <row r="5">
      <c r="A5" s="4" t="inlineStr">
        <is>
          <t>R-04</t>
        </is>
      </c>
      <c r="B5" s="4" t="inlineStr">
        <is>
          <t>0-30 days</t>
        </is>
      </c>
      <c r="C5" s="4" t="inlineStr">
        <is>
          <t>Review the IT/OT firewall rule base; remove the any-any rule and direct Enterprise-&gt;OT RDP/SMB rules.</t>
        </is>
      </c>
      <c r="D5" s="4" t="inlineStr">
        <is>
          <t>SC-02</t>
        </is>
      </c>
      <c r="E5" s="4" t="inlineStr">
        <is>
          <t>T-07, T-08, T-10, T-17, T-18, T-24, T-29</t>
        </is>
      </c>
      <c r="F5" s="4" t="inlineStr">
        <is>
          <t>IT Infrastructure</t>
        </is>
      </c>
      <c r="G5" s="4" t="inlineStr">
        <is>
          <t>Low</t>
        </is>
      </c>
    </row>
    <row r="6">
      <c r="A6" s="4" t="inlineStr">
        <is>
          <t>R-05</t>
        </is>
      </c>
      <c r="B6" s="4" t="inlineStr">
        <is>
          <t>0-30 days</t>
        </is>
      </c>
      <c r="C6" s="4" t="inlineStr">
        <is>
          <t>Review privileged accounts: reduce Domain Admins, remove operator local-admin rights, rotate vendor, service and historian admin passwords.</t>
        </is>
      </c>
      <c r="D6" s="4" t="inlineStr">
        <is>
          <t>SC-04</t>
        </is>
      </c>
      <c r="E6" s="4" t="inlineStr">
        <is>
          <t>T-01, T-06, T-07, T-08, T-12, T-29</t>
        </is>
      </c>
      <c r="F6" s="4" t="inlineStr">
        <is>
          <t>IT Security Manager</t>
        </is>
      </c>
      <c r="G6" s="4" t="inlineStr">
        <is>
          <t>Low</t>
        </is>
      </c>
    </row>
    <row r="7">
      <c r="A7" s="4" t="inlineStr">
        <is>
          <t>R-06</t>
        </is>
      </c>
      <c r="B7" s="4" t="inlineStr">
        <is>
          <t>0-30 days</t>
        </is>
      </c>
      <c r="C7" s="4" t="inlineStr">
        <is>
          <t>Take offline copies of all PLC programs, HMI projects and historian configuration; verify one restore on the test bench.</t>
        </is>
      </c>
      <c r="D7" s="4" t="inlineStr">
        <is>
          <t>SC-08</t>
        </is>
      </c>
      <c r="E7" s="4" t="inlineStr">
        <is>
          <t>T-17, T-18, T-27</t>
        </is>
      </c>
      <c r="F7" s="4" t="inlineStr">
        <is>
          <t>OT Engineering Lead</t>
        </is>
      </c>
      <c r="G7" s="4" t="inlineStr">
        <is>
          <t>Low</t>
        </is>
      </c>
    </row>
    <row r="8">
      <c r="A8" s="4" t="inlineStr">
        <is>
          <t>R-07</t>
        </is>
      </c>
      <c r="B8" s="4" t="inlineStr">
        <is>
          <t>0-30 days</t>
        </is>
      </c>
      <c r="C8" s="4" t="inlineStr">
        <is>
          <t>Disable the IIoT gateway's inbound web management, change default credentials, and restrict the LTE router to the cloud endpoint only.</t>
        </is>
      </c>
      <c r="D8" s="4" t="inlineStr">
        <is>
          <t>SC-11</t>
        </is>
      </c>
      <c r="E8" s="4" t="inlineStr">
        <is>
          <t>T-11, T-12, T-13, T-14</t>
        </is>
      </c>
      <c r="F8" s="4" t="inlineStr">
        <is>
          <t>OT Engineering Lead</t>
        </is>
      </c>
      <c r="G8" s="4" t="inlineStr">
        <is>
          <t>Low</t>
        </is>
      </c>
    </row>
    <row r="9">
      <c r="A9" s="4" t="inlineStr">
        <is>
          <t>R-08</t>
        </is>
      </c>
      <c r="B9" s="4" t="inlineStr">
        <is>
          <t>0-30 days</t>
        </is>
      </c>
      <c r="C9" s="4" t="inlineStr">
        <is>
          <t>Set PLC key switches to RUN; document the procedure for REMOTE/PROG only during approved change windows.</t>
        </is>
      </c>
      <c r="D9" s="4" t="inlineStr">
        <is>
          <t>SC-07</t>
        </is>
      </c>
      <c r="E9" s="4" t="inlineStr">
        <is>
          <t>T-02, T-21, T-22, T-23</t>
        </is>
      </c>
      <c r="F9" s="4" t="inlineStr">
        <is>
          <t>OT Engineering Lead</t>
        </is>
      </c>
      <c r="G9" s="4" t="inlineStr">
        <is>
          <t>Low</t>
        </is>
      </c>
    </row>
    <row r="10">
      <c r="A10" s="4" t="inlineStr">
        <is>
          <t>R-09</t>
        </is>
      </c>
      <c r="B10" s="4" t="inlineStr">
        <is>
          <t>30-90 days</t>
        </is>
      </c>
      <c r="C10" s="4" t="inlineStr">
        <is>
          <t>Move OT Windows hosts to a separate OT identity domain (no trust to apex.local); force all IT-&gt;OT access through the IDMZ.</t>
        </is>
      </c>
      <c r="D10" s="4" t="inlineStr">
        <is>
          <t>SC-02, SC-04</t>
        </is>
      </c>
      <c r="E10" s="4" t="inlineStr">
        <is>
          <t>T-01, T-06, T-07, T-08, T-10, T-12, T-17, T-18, T-24, T-29</t>
        </is>
      </c>
      <c r="F10" s="4" t="inlineStr">
        <is>
          <t>IT Infrastructure</t>
        </is>
      </c>
      <c r="G10" s="4" t="inlineStr">
        <is>
          <t>High</t>
        </is>
      </c>
    </row>
    <row r="11">
      <c r="A11" s="4" t="inlineStr">
        <is>
          <t>R-10</t>
        </is>
      </c>
      <c r="B11" s="4" t="inlineStr">
        <is>
          <t>30-90 days</t>
        </is>
      </c>
      <c r="C11" s="4" t="inlineStr">
        <is>
          <t>Install a conduit firewall between Site Operations and Control zones with a protocol allowlist; enable port security and storm control; lock cabinets.</t>
        </is>
      </c>
      <c r="D11" s="4" t="inlineStr">
        <is>
          <t>SC-03, SC-17</t>
        </is>
      </c>
      <c r="E11" s="4" t="inlineStr">
        <is>
          <t>T-02, T-05, T-15, T-16, T-20, T-21, T-22, T-30</t>
        </is>
      </c>
      <c r="F11" s="4" t="inlineStr">
        <is>
          <t>OT Engineering Lead</t>
        </is>
      </c>
      <c r="G11" s="4" t="inlineStr">
        <is>
          <t>Medium</t>
        </is>
      </c>
    </row>
    <row r="12">
      <c r="A12" s="4" t="inlineStr">
        <is>
          <t>R-11</t>
        </is>
      </c>
      <c r="B12" s="4" t="inlineStr">
        <is>
          <t>30-90 days</t>
        </is>
      </c>
      <c r="C12" s="4" t="inlineStr">
        <is>
          <t>Rebuild the jump server off-domain with MFA, session recording and an approved-target list.</t>
        </is>
      </c>
      <c r="D12" s="4" t="inlineStr">
        <is>
          <t>SC-05</t>
        </is>
      </c>
      <c r="E12" s="4" t="inlineStr">
        <is>
          <t>T-07, T-25</t>
        </is>
      </c>
      <c r="F12" s="4" t="inlineStr">
        <is>
          <t>IT Security Manager</t>
        </is>
      </c>
      <c r="G12" s="4" t="inlineStr">
        <is>
          <t>Medium</t>
        </is>
      </c>
    </row>
    <row r="13">
      <c r="A13" s="4" t="inlineStr">
        <is>
          <t>R-12</t>
        </is>
      </c>
      <c r="B13" s="4" t="inlineStr">
        <is>
          <t>30-90 days</t>
        </is>
      </c>
      <c r="C13" s="4" t="inlineStr">
        <is>
          <t>Harden the EWS and HMIs: application allowlisting, USB device control, a scanning kiosk, no Internet egress.</t>
        </is>
      </c>
      <c r="D13" s="4" t="inlineStr">
        <is>
          <t>SC-06</t>
        </is>
      </c>
      <c r="E13" s="4" t="inlineStr">
        <is>
          <t>T-06, T-17, T-24, T-28</t>
        </is>
      </c>
      <c r="F13" s="4" t="inlineStr">
        <is>
          <t>OT Engineering Lead</t>
        </is>
      </c>
      <c r="G13" s="4" t="inlineStr">
        <is>
          <t>Medium</t>
        </is>
      </c>
    </row>
    <row r="14">
      <c r="A14" s="4" t="inlineStr">
        <is>
          <t>R-13</t>
        </is>
      </c>
      <c r="B14" s="4" t="inlineStr">
        <is>
          <t>30-90 days</t>
        </is>
      </c>
      <c r="C14" s="4" t="inlineStr">
        <is>
          <t>Deploy an OT log collector in the IDMZ forwarding to the SIEM; introduce named, role-based HMI accounts.</t>
        </is>
      </c>
      <c r="D14" s="4" t="inlineStr">
        <is>
          <t>SC-09, SC-15</t>
        </is>
      </c>
      <c r="E14" s="4" t="inlineStr">
        <is>
          <t>T-03, T-04, T-19, T-20, T-23, T-25</t>
        </is>
      </c>
      <c r="F14" s="4" t="inlineStr">
        <is>
          <t>IT Security Manager</t>
        </is>
      </c>
      <c r="G14" s="4" t="inlineStr">
        <is>
          <t>Medium</t>
        </is>
      </c>
    </row>
    <row r="15">
      <c r="A15" s="4" t="inlineStr">
        <is>
          <t>R-14</t>
        </is>
      </c>
      <c r="B15" s="4" t="inlineStr">
        <is>
          <t>30-90 days</t>
        </is>
      </c>
      <c r="C15" s="4" t="inlineStr">
        <is>
          <t>Re-route IIoT data via an IDMZ broker (gateway read-only toward OT); enable OPC UA SignAndEncrypt with user authentication.</t>
        </is>
      </c>
      <c r="D15" s="4" t="inlineStr">
        <is>
          <t>SC-11, SC-15</t>
        </is>
      </c>
      <c r="E15" s="4" t="inlineStr">
        <is>
          <t>T-03, T-04, T-11, T-12, T-13, T-14, T-19, T-20</t>
        </is>
      </c>
      <c r="F15" s="4" t="inlineStr">
        <is>
          <t>OT Engineering Lead</t>
        </is>
      </c>
      <c r="G15" s="4" t="inlineStr">
        <is>
          <t>Medium</t>
        </is>
      </c>
    </row>
    <row r="16">
      <c r="A16" s="4" t="inlineStr">
        <is>
          <t>R-15</t>
        </is>
      </c>
      <c r="B16" s="4" t="inlineStr">
        <is>
          <t>30-90 days</t>
        </is>
      </c>
      <c r="C16" s="4" t="inlineStr">
        <is>
          <t>Change historian replication to OT-initiated push with a least-privilege login; restrict replica access by role.</t>
        </is>
      </c>
      <c r="D16" s="4" t="inlineStr">
        <is>
          <t>SC-02, SC-15</t>
        </is>
      </c>
      <c r="E16" s="4" t="inlineStr">
        <is>
          <t>T-03, T-04, T-07, T-08, T-10, T-17, T-18, T-19, T-20, T-24, T-29</t>
        </is>
      </c>
      <c r="F16" s="4" t="inlineStr">
        <is>
          <t>IT Infrastructure</t>
        </is>
      </c>
      <c r="G16" s="4" t="inlineStr">
        <is>
          <t>Low</t>
        </is>
      </c>
    </row>
    <row r="17">
      <c r="A17" s="4" t="inlineStr">
        <is>
          <t>R-16</t>
        </is>
      </c>
      <c r="B17" s="4" t="inlineStr">
        <is>
          <t>30-90 days</t>
        </is>
      </c>
      <c r="C17" s="4" t="inlineStr">
        <is>
          <t>Strengthen enterprise phishing defences: DMARC enforcement, attachment sandboxing, EDR on all endpoints, phishing simulations.</t>
        </is>
      </c>
      <c r="D17" s="4" t="inlineStr">
        <is>
          <t>SC-12</t>
        </is>
      </c>
      <c r="E17" s="4" t="inlineStr">
        <is>
          <t>T-09</t>
        </is>
      </c>
      <c r="F17" s="4" t="inlineStr">
        <is>
          <t>IT Security Manager</t>
        </is>
      </c>
      <c r="G17" s="4" t="inlineStr">
        <is>
          <t>Medium</t>
        </is>
      </c>
    </row>
    <row r="18">
      <c r="A18" s="4" t="inlineStr">
        <is>
          <t>R-17</t>
        </is>
      </c>
      <c r="B18" s="4" t="inlineStr">
        <is>
          <t>3-12 months</t>
        </is>
      </c>
      <c r="C18" s="4" t="inlineStr">
        <is>
          <t>Deploy passive OT network monitoring with asset discovery in Z3/Z4 and integrate alerts with the SOC.</t>
        </is>
      </c>
      <c r="D18" s="4" t="inlineStr">
        <is>
          <t>SC-10, SC-13</t>
        </is>
      </c>
      <c r="E18" s="4" t="inlineStr">
        <is>
          <t>T-02, T-05, T-06, T-11, T-15, T-16, T-21, T-22, T-26, T-30</t>
        </is>
      </c>
      <c r="F18" s="4" t="inlineStr">
        <is>
          <t>IT Security Manager</t>
        </is>
      </c>
      <c r="G18" s="4" t="inlineStr">
        <is>
          <t>High</t>
        </is>
      </c>
    </row>
    <row r="19">
      <c r="A19" s="4" t="inlineStr">
        <is>
          <t>R-18</t>
        </is>
      </c>
      <c r="B19" s="4" t="inlineStr">
        <is>
          <t>3-12 months</t>
        </is>
      </c>
      <c r="C19" s="4" t="inlineStr">
        <is>
          <t>Formalise PLC change management: version-controlled projects, approval workflow, scheduled program compare against golden copies.</t>
        </is>
      </c>
      <c r="D19" s="4" t="inlineStr">
        <is>
          <t>SC-07</t>
        </is>
      </c>
      <c r="E19" s="4" t="inlineStr">
        <is>
          <t>T-02, T-21, T-22, T-23</t>
        </is>
      </c>
      <c r="F19" s="4" t="inlineStr">
        <is>
          <t>OT Engineering Lead</t>
        </is>
      </c>
      <c r="G19" s="4" t="inlineStr">
        <is>
          <t>Medium</t>
        </is>
      </c>
    </row>
    <row r="20">
      <c r="A20" s="4" t="inlineStr">
        <is>
          <t>R-19</t>
        </is>
      </c>
      <c r="B20" s="4" t="inlineStr">
        <is>
          <t>3-12 months</t>
        </is>
      </c>
      <c r="C20" s="4" t="inlineStr">
        <is>
          <t>Implement PAM for OT and vendor privileged access (vaulting, just-in-time access, approval).</t>
        </is>
      </c>
      <c r="D20" s="4" t="inlineStr">
        <is>
          <t>SC-04, SC-01</t>
        </is>
      </c>
      <c r="E20" s="4" t="inlineStr">
        <is>
          <t>T-01, T-06, T-07, T-08, T-12, T-24, T-26, T-29</t>
        </is>
      </c>
      <c r="F20" s="4" t="inlineStr">
        <is>
          <t>IT Security Manager</t>
        </is>
      </c>
      <c r="G20" s="4" t="inlineStr">
        <is>
          <t>High</t>
        </is>
      </c>
    </row>
    <row r="21">
      <c r="A21" s="4" t="inlineStr">
        <is>
          <t>R-20</t>
        </is>
      </c>
      <c r="B21" s="4" t="inlineStr">
        <is>
          <t>3-12 months</t>
        </is>
      </c>
      <c r="C21" s="4" t="inlineStr">
        <is>
          <t>Write OT incident-response playbooks and manual-operation procedures; run a ransomware + PLC-manipulation tabletop exercise.</t>
        </is>
      </c>
      <c r="D21" s="4" t="inlineStr">
        <is>
          <t>SC-14</t>
        </is>
      </c>
      <c r="E21" s="4" t="inlineStr">
        <is>
          <t>T-17, T-28</t>
        </is>
      </c>
      <c r="F21" s="4" t="inlineStr">
        <is>
          <t>Plant Manager</t>
        </is>
      </c>
      <c r="G21" s="4" t="inlineStr">
        <is>
          <t>Medium</t>
        </is>
      </c>
    </row>
    <row r="22">
      <c r="A22" s="4" t="inlineStr">
        <is>
          <t>R-21</t>
        </is>
      </c>
      <c r="B22" s="4" t="inlineStr">
        <is>
          <t>3-12 months</t>
        </is>
      </c>
      <c r="C22" s="4" t="inlineStr">
        <is>
          <t>Add IEC 62443-2-4 aligned security requirements to RoboServ and IIoT/cloud supplier contracts; review annually.</t>
        </is>
      </c>
      <c r="D22" s="4" t="inlineStr">
        <is>
          <t>SC-16</t>
        </is>
      </c>
      <c r="E22" s="4" t="inlineStr">
        <is>
          <t>T-01, T-12, T-13</t>
        </is>
      </c>
      <c r="F22" s="4" t="inlineStr">
        <is>
          <t>Procurement</t>
        </is>
      </c>
      <c r="G22" s="4" t="inlineStr">
        <is>
          <t>Medium</t>
        </is>
      </c>
    </row>
    <row r="23">
      <c r="A23" s="4" t="inlineStr">
        <is>
          <t>R-22</t>
        </is>
      </c>
      <c r="B23" s="4" t="inlineStr">
        <is>
          <t>3-12 months</t>
        </is>
      </c>
      <c r="C23" s="4" t="inlineStr">
        <is>
          <t>Establish OT asset inventory and vulnerability management (incl. PLC firmware plan); schedule quarterly restore tests and an annual reassessment.</t>
        </is>
      </c>
      <c r="D23" s="4" t="inlineStr">
        <is>
          <t>SC-13, SC-08</t>
        </is>
      </c>
      <c r="E23" s="4" t="inlineStr">
        <is>
          <t>T-06, T-11, T-17, T-18, T-21, T-26, T-27</t>
        </is>
      </c>
      <c r="F23" s="4" t="inlineStr">
        <is>
          <t>OT Engineering Lead</t>
        </is>
      </c>
      <c r="G23" s="4" t="inlineStr">
        <is>
          <t>Medium</t>
        </is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2026-10-06T06:20:57Z</dcterms:created>
  <dcterms:modified xmlns:dcterms="http://purl.org/dc/terms/" xmlns:xsi="http://www.w3.org/2001/XMLSchema-instance" xsi:type="dcterms:W3CDTF">2026-10-06T06:20:57Z</dcterms:modified>
</cp:coreProperties>
</file>