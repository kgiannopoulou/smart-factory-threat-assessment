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Trust Boundarie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Data Flows" sheetId="5" state="visible" r:id="rId5"/>
    <sheet xmlns:r="http://schemas.openxmlformats.org/officeDocument/2006/relationships" name="STRIDE per Element" sheetId="6" state="visible" r:id="rId6"/>
    <sheet xmlns:r="http://schemas.openxmlformats.org/officeDocument/2006/relationships" name="Threat Register" sheetId="7" state="visible" r:id="rId7"/>
    <sheet xmlns:r="http://schemas.openxmlformats.org/officeDocument/2006/relationships" name="Actors" sheetId="8" state="visible" r:id="rId8"/>
  </sheets>
  <definedNames>
    <definedName name="_xlnm._FilterDatabase" localSheetId="1" hidden="1">'Zones'!$A$1:$F$9</definedName>
    <definedName name="_xlnm._FilterDatabase" localSheetId="2" hidden="1">'Trust Boundaries'!$A$1:$E$8</definedName>
    <definedName name="_xlnm._FilterDatabase" localSheetId="3" hidden="1">'Assets'!$A$1:$H$24</definedName>
    <definedName name="_xlnm._FilterDatabase" localSheetId="4" hidden="1">'Data Flows'!$A$1:$G$21</definedName>
    <definedName name="_xlnm._FilterDatabase" localSheetId="5" hidden="1">'STRIDE per Element'!$A$1:$G$5</definedName>
    <definedName name="_xlnm._FilterDatabase" localSheetId="6" hidden="1">'Threat Register'!$A$1:$T$31</definedName>
    <definedName name="_xlnm._FilterDatabase" localSheetId="7" hidden="1">'Actors'!$A$1:$B$8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8B8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Smart Factory Cybersecurity Threat &amp; Risk Assessment - STRIDE analysis</t>
        </is>
      </c>
    </row>
    <row r="2">
      <c r="A2" s="2" t="inlineStr">
        <is>
          <t>Client: Apex Manufacturing Ltd. (fictional)   Version 1.0   October 2026   Author: K. Giannopoulou</t>
        </is>
      </c>
    </row>
    <row r="3">
      <c r="A3" s="2" t="inlineStr"/>
    </row>
    <row r="4">
      <c r="A4" s="2" t="inlineStr">
        <is>
          <t>Sheets:</t>
        </is>
      </c>
    </row>
    <row r="5">
      <c r="A5" s="2" t="inlineStr">
        <is>
          <t xml:space="preserve">  Zones / Trust Boundaries / Assets / Data Flows - the system model the threats are derived from.</t>
        </is>
      </c>
    </row>
    <row r="6">
      <c r="A6" s="2" t="inlineStr">
        <is>
          <t xml:space="preserve">  STRIDE per Element - which STRIDE categories were considered for each element type (Microsoft STRIDE-per-element).</t>
        </is>
      </c>
    </row>
    <row r="7">
      <c r="A7" s="2" t="inlineStr">
        <is>
          <t xml:space="preserve">  Threat Register - 30 threats with actor, path, existing controls, scoring, mitigation and residual risk.</t>
        </is>
      </c>
    </row>
    <row r="8">
      <c r="A8" s="2" t="inlineStr">
        <is>
          <t xml:space="preserve">  Actors - threat actor catalogue referenced in the register.</t>
        </is>
      </c>
    </row>
    <row r="9">
      <c r="A9" s="2" t="inlineStr"/>
    </row>
    <row r="10">
      <c r="A10" s="2" t="inlineStr">
        <is>
          <t>Scoring: Likelihood (1-5) x Impact (1-5). Score/rating columns are live formulas.</t>
        </is>
      </c>
    </row>
    <row r="11">
      <c r="A11" s="2" t="inlineStr">
        <is>
          <t>Full methodology: risk-assessment/risk-methodology.md. Source of truth: tools/data.py.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6" customWidth="1" min="4" max="4"/>
    <col width="16" customWidth="1" min="5" max="5"/>
    <col width="70" customWidth="1" min="6" max="6"/>
  </cols>
  <sheetData>
    <row r="1">
      <c r="A1" s="3" t="inlineStr">
        <is>
          <t>Zone</t>
        </is>
      </c>
      <c r="B1" s="3" t="inlineStr">
        <is>
          <t>Name</t>
        </is>
      </c>
      <c r="C1" s="3" t="inlineStr">
        <is>
          <t>Purdue</t>
        </is>
      </c>
      <c r="D1" s="3" t="inlineStr">
        <is>
          <t>SL-T (indicative)</t>
        </is>
      </c>
      <c r="E1" s="3" t="inlineStr">
        <is>
          <t>SL-A (indicative)</t>
        </is>
      </c>
      <c r="F1" s="3" t="inlineStr">
        <is>
          <t>Description</t>
        </is>
      </c>
    </row>
    <row r="2">
      <c r="A2" s="4" t="inlineStr">
        <is>
          <t>Z0</t>
        </is>
      </c>
      <c r="B2" s="4" t="inlineStr">
        <is>
          <t>Internet</t>
        </is>
      </c>
      <c r="C2" s="4" t="inlineStr">
        <is>
          <t>-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Untrusted public networks; vendor and attacker origin.</t>
        </is>
      </c>
    </row>
    <row r="3">
      <c r="A3" s="4" t="inlineStr">
        <is>
          <t>Z1</t>
        </is>
      </c>
      <c r="B3" s="4" t="inlineStr">
        <is>
          <t>Enterprise</t>
        </is>
      </c>
      <c r="C3" s="4" t="inlineStr">
        <is>
          <t>L4-L5</t>
        </is>
      </c>
      <c r="D3" s="4" t="inlineStr">
        <is>
          <t>IT baseline</t>
        </is>
      </c>
      <c r="E3" s="4" t="inlineStr">
        <is>
          <t>-</t>
        </is>
      </c>
      <c r="F3" s="4" t="inlineStr">
        <is>
          <t>Corporate LAN: workstations, Active Directory, ERP, email.</t>
        </is>
      </c>
    </row>
    <row r="4">
      <c r="A4" s="4" t="inlineStr">
        <is>
          <t>Z2</t>
        </is>
      </c>
      <c r="B4" s="4" t="inlineStr">
        <is>
          <t>Industrial DMZ</t>
        </is>
      </c>
      <c r="C4" s="4" t="inlineStr">
        <is>
          <t>L3.5</t>
        </is>
      </c>
      <c r="D4" s="4" t="inlineStr">
        <is>
          <t>SL 2</t>
        </is>
      </c>
      <c r="E4" s="4" t="inlineStr">
        <is>
          <t>SL 1</t>
        </is>
      </c>
      <c r="F4" s="4" t="inlineStr">
        <is>
          <t>Brokering zone between IT and OT: historian replica, jump server, remote-access gateway.</t>
        </is>
      </c>
    </row>
    <row r="5">
      <c r="A5" s="4" t="inlineStr">
        <is>
          <t>Z3</t>
        </is>
      </c>
      <c r="B5" s="4" t="inlineStr">
        <is>
          <t>OT Site Operations</t>
        </is>
      </c>
      <c r="C5" s="4" t="inlineStr">
        <is>
          <t>L2-L3</t>
        </is>
      </c>
      <c r="D5" s="4" t="inlineStr">
        <is>
          <t>SL 2</t>
        </is>
      </c>
      <c r="E5" s="4" t="inlineStr">
        <is>
          <t>SL 1</t>
        </is>
      </c>
      <c r="F5" s="4" t="inlineStr">
        <is>
          <t>SCADA/HMI, engineering workstation, historian, OPC UA server.</t>
        </is>
      </c>
    </row>
    <row r="6">
      <c r="A6" s="4" t="inlineStr">
        <is>
          <t>Z4</t>
        </is>
      </c>
      <c r="B6" s="4" t="inlineStr">
        <is>
          <t>Control</t>
        </is>
      </c>
      <c r="C6" s="4" t="inlineStr">
        <is>
          <t>L1</t>
        </is>
      </c>
      <c r="D6" s="4" t="inlineStr">
        <is>
          <t>SL 2</t>
        </is>
      </c>
      <c r="E6" s="4" t="inlineStr">
        <is>
          <t>SL 0-1</t>
        </is>
      </c>
      <c r="F6" s="4" t="inlineStr">
        <is>
          <t>PLC-01 conveyor, PLC-02 robotic welding cell, PLC-03 packaging.</t>
        </is>
      </c>
    </row>
    <row r="7">
      <c r="A7" s="4" t="inlineStr">
        <is>
          <t>Z5</t>
        </is>
      </c>
      <c r="B7" s="4" t="inlineStr">
        <is>
          <t>Physical Process &amp; Safety</t>
        </is>
      </c>
      <c r="C7" s="4" t="inlineStr">
        <is>
          <t>L0</t>
        </is>
      </c>
      <c r="D7" s="4" t="inlineStr">
        <is>
          <t>n/a (hardwired)</t>
        </is>
      </c>
      <c r="E7" s="4" t="inlineStr">
        <is>
          <t>-</t>
        </is>
      </c>
      <c r="F7" s="4" t="inlineStr">
        <is>
          <t>Sensors, drives, actuators; hardwired safety circuits (e-stops, light curtains, safety relays).</t>
        </is>
      </c>
    </row>
    <row r="8">
      <c r="A8" s="4" t="inlineStr">
        <is>
          <t>Z6</t>
        </is>
      </c>
      <c r="B8" s="4" t="inlineStr">
        <is>
          <t>IIoT / Cloud</t>
        </is>
      </c>
      <c r="C8" s="4" t="inlineStr">
        <is>
          <t>outside model</t>
        </is>
      </c>
      <c r="D8" s="4" t="inlineStr">
        <is>
          <t>SL 2</t>
        </is>
      </c>
      <c r="E8" s="4" t="inlineStr">
        <is>
          <t>SL 0-1</t>
        </is>
      </c>
      <c r="F8" s="4" t="inlineStr">
        <is>
          <t>Wireless vibration sensors, IIoT gateway with LTE uplink, SaaS analytics platform.</t>
        </is>
      </c>
    </row>
    <row r="9">
      <c r="A9" s="4" t="inlineStr">
        <is>
          <t>Z7</t>
        </is>
      </c>
      <c r="B9" s="4" t="inlineStr">
        <is>
          <t>Third-party Vendor</t>
        </is>
      </c>
      <c r="C9" s="4" t="inlineStr">
        <is>
          <t>external</t>
        </is>
      </c>
      <c r="D9" s="4" t="inlineStr">
        <is>
          <t>contractual</t>
        </is>
      </c>
      <c r="E9" s="4" t="inlineStr">
        <is>
          <t>-</t>
        </is>
      </c>
      <c r="F9" s="4" t="inlineStr">
        <is>
          <t>RoboServ Automation GmbH (fictional) - remote PLC and robot-cell maintenance.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18" customWidth="1" min="4" max="4"/>
    <col width="80" customWidth="1" min="5" max="5"/>
  </cols>
  <sheetData>
    <row r="1">
      <c r="A1" s="3" t="inlineStr">
        <is>
          <t>ID</t>
        </is>
      </c>
      <c r="B1" s="3" t="inlineStr">
        <is>
          <t>Between</t>
        </is>
      </c>
      <c r="C1" s="3" t="inlineStr">
        <is>
          <t>Enforced by</t>
        </is>
      </c>
      <c r="D1" s="3" t="inlineStr">
        <is>
          <t>State</t>
        </is>
      </c>
      <c r="E1" s="3" t="inlineStr">
        <is>
          <t>Observation</t>
        </is>
      </c>
    </row>
    <row r="2">
      <c r="A2" s="4" t="inlineStr">
        <is>
          <t>TB-1</t>
        </is>
      </c>
      <c r="B2" s="4" t="inlineStr">
        <is>
          <t>Internet (Z0) &lt;-&gt; Enterprise (Z1)</t>
        </is>
      </c>
      <c r="C2" s="4" t="inlineStr">
        <is>
          <t>Perimeter firewall</t>
        </is>
      </c>
      <c r="D2" s="4" t="inlineStr">
        <is>
          <t>Enforced</t>
        </is>
      </c>
      <c r="E2" s="4" t="inlineStr">
        <is>
          <t>Standard IT perimeter; email and web filtering in place.</t>
        </is>
      </c>
    </row>
    <row r="3">
      <c r="A3" s="4" t="inlineStr">
        <is>
          <t>TB-2</t>
        </is>
      </c>
      <c r="B3" s="4" t="inlineStr">
        <is>
          <t>Enterprise (Z1) &lt;-&gt; Industrial DMZ (Z2)</t>
        </is>
      </c>
      <c r="C3" s="4" t="inlineStr">
        <is>
          <t>IT/OT firewall (IT-facing leg)</t>
        </is>
      </c>
      <c r="D3" s="4" t="inlineStr">
        <is>
          <t>Partially enforced</t>
        </is>
      </c>
      <c r="E3" s="4" t="inlineStr">
        <is>
          <t>Three-legged firewall managed by IT. Rule base contains 'temporary' any-any rule from 2024 robot-cell project and direct RDP/SMB from the IT admin subnet.</t>
        </is>
      </c>
    </row>
    <row r="4">
      <c r="A4" s="4" t="inlineStr">
        <is>
          <t>TB-3</t>
        </is>
      </c>
      <c r="B4" s="4" t="inlineStr">
        <is>
          <t>Industrial DMZ (Z2) &lt;-&gt; OT Site Operations (Z3)</t>
        </is>
      </c>
      <c r="C4" s="4" t="inlineStr">
        <is>
          <t>IT/OT firewall (OT-facing leg)</t>
        </is>
      </c>
      <c r="D4" s="4" t="inlineStr">
        <is>
          <t>Partially enforced</t>
        </is>
      </c>
      <c r="E4" s="4" t="inlineStr">
        <is>
          <t>Historian replication is bidirectional SQL; AD authentication traffic passes from OT hosts straight to corporate domain controllers, bypassing the DMZ.</t>
        </is>
      </c>
    </row>
    <row r="5">
      <c r="A5" s="4" t="inlineStr">
        <is>
          <t>TB-4</t>
        </is>
      </c>
      <c r="B5" s="4" t="inlineStr">
        <is>
          <t>OT Site Operations (Z3) &lt;-&gt; Control (Z4)</t>
        </is>
      </c>
      <c r="C5" s="4" t="inlineStr">
        <is>
          <t>None (routed on OT core switch, no ACLs)</t>
        </is>
      </c>
      <c r="D5" s="4" t="inlineStr">
        <is>
          <t>Not enforced</t>
        </is>
      </c>
      <c r="E5" s="4" t="inlineStr">
        <is>
          <t>Any OT host can reach any PLC on any port. PLCs are left in REMOTE key position.</t>
        </is>
      </c>
    </row>
    <row r="6">
      <c r="A6" s="4" t="inlineStr">
        <is>
          <t>TB-5</t>
        </is>
      </c>
      <c r="B6" s="4" t="inlineStr">
        <is>
          <t>Control (Z4) &lt;-&gt; Physical Process &amp; Safety (Z5)</t>
        </is>
      </c>
      <c r="C6" s="4" t="inlineStr">
        <is>
          <t>Hardwired I/O; independent hardwired safety circuits</t>
        </is>
      </c>
      <c r="D6" s="4" t="inlineStr">
        <is>
          <t>Physically enforced</t>
        </is>
      </c>
      <c r="E6" s="4" t="inlineStr">
        <is>
          <t>Safety functions (e-stop, light curtains, door interlocks) are hardwired and not programmable from the network - assumed independent of PLC logic.</t>
        </is>
      </c>
    </row>
    <row r="7">
      <c r="A7" s="4" t="inlineStr">
        <is>
          <t>TB-6</t>
        </is>
      </c>
      <c r="B7" s="4" t="inlineStr">
        <is>
          <t>OT (Z3) &lt;-&gt; IIoT / Cloud (Z6)</t>
        </is>
      </c>
      <c r="C7" s="4" t="inlineStr">
        <is>
          <t>None by Apex (LTE router supplied by IIoT vendor)</t>
        </is>
      </c>
      <c r="D7" s="4" t="inlineStr">
        <is>
          <t>Not enforced</t>
        </is>
      </c>
      <c r="E7" s="4" t="inlineStr">
        <is>
          <t>IIoT gateway is dual-homed: OT network + its own LTE uplink to the Internet. This path bypasses the IDMZ entirely.</t>
        </is>
      </c>
    </row>
    <row r="8">
      <c r="A8" s="4" t="inlineStr">
        <is>
          <t>TB-7</t>
        </is>
      </c>
      <c r="B8" s="4" t="inlineStr">
        <is>
          <t>Vendor (Z7) &lt;-&gt; Apex (Z2/Z3)</t>
        </is>
      </c>
      <c r="C8" s="4" t="inlineStr">
        <is>
          <t>SSL VPN + contract</t>
        </is>
      </c>
      <c r="D8" s="4" t="inlineStr">
        <is>
          <t>Weak</t>
        </is>
      </c>
      <c r="E8" s="4" t="inlineStr">
        <is>
          <t>Single shared vendor VPN account, password-only, always enabled. TeamViewer found installed on the engineering workstation as an 'emergency' path.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8" customWidth="1" min="4" max="4"/>
    <col width="12" customWidth="1" min="5" max="5"/>
    <col width="44" customWidth="1" min="6" max="6"/>
    <col width="40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Asset</t>
        </is>
      </c>
      <c r="C1" s="3" t="inlineStr">
        <is>
          <t>Zone</t>
        </is>
      </c>
      <c r="D1" s="3" t="inlineStr">
        <is>
          <t>Purdue</t>
        </is>
      </c>
      <c r="E1" s="3" t="inlineStr">
        <is>
          <t>Criticality</t>
        </is>
      </c>
      <c r="F1" s="3" t="inlineStr">
        <is>
          <t>Function</t>
        </is>
      </c>
      <c r="G1" s="3" t="inlineStr">
        <is>
          <t>Security concern</t>
        </is>
      </c>
      <c r="H1" s="3" t="inlineStr">
        <is>
          <t>Threats</t>
        </is>
      </c>
    </row>
    <row r="2">
      <c r="A2" s="4" t="inlineStr">
        <is>
          <t>A-01</t>
        </is>
      </c>
      <c r="B2" s="4" t="inlineStr">
        <is>
          <t>Perimeter firewall</t>
        </is>
      </c>
      <c r="C2" s="4" t="inlineStr">
        <is>
          <t>Z1</t>
        </is>
      </c>
      <c r="D2" s="4" t="inlineStr">
        <is>
          <t>L5</t>
        </is>
      </c>
      <c r="E2" s="4" t="inlineStr">
        <is>
          <t>High</t>
        </is>
      </c>
      <c r="F2" s="4" t="inlineStr">
        <is>
          <t>Internet edge filtering for corporate network</t>
        </is>
      </c>
      <c r="G2" s="4" t="inlineStr">
        <is>
          <t>Misconfiguration exposes internal services</t>
        </is>
      </c>
      <c r="H2" s="4" t="inlineStr"/>
    </row>
    <row r="3">
      <c r="A3" s="4" t="inlineStr">
        <is>
          <t>A-02</t>
        </is>
      </c>
      <c r="B3" s="4" t="inlineStr">
        <is>
          <t>Employee workstations (~320)</t>
        </is>
      </c>
      <c r="C3" s="4" t="inlineStr">
        <is>
          <t>Z1</t>
        </is>
      </c>
      <c r="D3" s="4" t="inlineStr">
        <is>
          <t>L4</t>
        </is>
      </c>
      <c r="E3" s="4" t="inlineStr">
        <is>
          <t>Medium</t>
        </is>
      </c>
      <c r="F3" s="4" t="inlineStr">
        <is>
          <t>Office productivity, ERP and email clients</t>
        </is>
      </c>
      <c r="G3" s="4" t="inlineStr">
        <is>
          <t>Phishing / malware foothold</t>
        </is>
      </c>
      <c r="H3" s="4" t="inlineStr">
        <is>
          <t>T-09</t>
        </is>
      </c>
    </row>
    <row r="4">
      <c r="A4" s="4" t="inlineStr">
        <is>
          <t>A-03</t>
        </is>
      </c>
      <c r="B4" s="4" t="inlineStr">
        <is>
          <t>Active Directory (apex.local)</t>
        </is>
      </c>
      <c r="C4" s="4" t="inlineStr">
        <is>
          <t>Z1</t>
        </is>
      </c>
      <c r="D4" s="4" t="inlineStr">
        <is>
          <t>L4</t>
        </is>
      </c>
      <c r="E4" s="4" t="inlineStr">
        <is>
          <t>Critical</t>
        </is>
      </c>
      <c r="F4" s="4" t="inlineStr">
        <is>
          <t>Identity and authentication for IT and (currently) OT hosts</t>
        </is>
      </c>
      <c r="G4" s="4" t="inlineStr">
        <is>
          <t>Credential compromise grants OT access</t>
        </is>
      </c>
      <c r="H4" s="4" t="inlineStr">
        <is>
          <t>T-08</t>
        </is>
      </c>
    </row>
    <row r="5">
      <c r="A5" s="4" t="inlineStr">
        <is>
          <t>A-04</t>
        </is>
      </c>
      <c r="B5" s="4" t="inlineStr">
        <is>
          <t>ERP system</t>
        </is>
      </c>
      <c r="C5" s="4" t="inlineStr">
        <is>
          <t>Z1</t>
        </is>
      </c>
      <c r="D5" s="4" t="inlineStr">
        <is>
          <t>L4</t>
        </is>
      </c>
      <c r="E5" s="4" t="inlineStr">
        <is>
          <t>High</t>
        </is>
      </c>
      <c r="F5" s="4" t="inlineStr">
        <is>
          <t>Orders, production planning, shipping</t>
        </is>
      </c>
      <c r="G5" s="4" t="inlineStr">
        <is>
          <t>Ransomware stops order-to-ship process</t>
        </is>
      </c>
      <c r="H5" s="4" t="inlineStr">
        <is>
          <t>T-17</t>
        </is>
      </c>
    </row>
    <row r="6">
      <c r="A6" s="4" t="inlineStr">
        <is>
          <t>A-05</t>
        </is>
      </c>
      <c r="B6" s="4" t="inlineStr">
        <is>
          <t>Email service (cloud-hosted)</t>
        </is>
      </c>
      <c r="C6" s="4" t="inlineStr">
        <is>
          <t>Z1</t>
        </is>
      </c>
      <c r="D6" s="4" t="inlineStr">
        <is>
          <t>L4</t>
        </is>
      </c>
      <c r="E6" s="4" t="inlineStr">
        <is>
          <t>Medium</t>
        </is>
      </c>
      <c r="F6" s="4" t="inlineStr">
        <is>
          <t>Corporate email</t>
        </is>
      </c>
      <c r="G6" s="4" t="inlineStr">
        <is>
          <t>Phishing delivery vector</t>
        </is>
      </c>
      <c r="H6" s="4" t="inlineStr">
        <is>
          <t>T-09</t>
        </is>
      </c>
    </row>
    <row r="7">
      <c r="A7" s="4" t="inlineStr">
        <is>
          <t>A-06</t>
        </is>
      </c>
      <c r="B7" s="4" t="inlineStr">
        <is>
          <t>IT/OT firewall (three-legged)</t>
        </is>
      </c>
      <c r="C7" s="4" t="inlineStr">
        <is>
          <t>Z2</t>
        </is>
      </c>
      <c r="D7" s="4" t="inlineStr">
        <is>
          <t>L3.5</t>
        </is>
      </c>
      <c r="E7" s="4" t="inlineStr">
        <is>
          <t>Critical</t>
        </is>
      </c>
      <c r="F7" s="4" t="inlineStr">
        <is>
          <t>Separates Enterprise, IDMZ and OT</t>
        </is>
      </c>
      <c r="G7" s="4" t="inlineStr">
        <is>
          <t>Permissive rules defeat segmentation</t>
        </is>
      </c>
      <c r="H7" s="4" t="inlineStr">
        <is>
          <t>T-10</t>
        </is>
      </c>
    </row>
    <row r="8">
      <c r="A8" s="4" t="inlineStr">
        <is>
          <t>A-07</t>
        </is>
      </c>
      <c r="B8" s="4" t="inlineStr">
        <is>
          <t>Historian replica</t>
        </is>
      </c>
      <c r="C8" s="4" t="inlineStr">
        <is>
          <t>Z2</t>
        </is>
      </c>
      <c r="D8" s="4" t="inlineStr">
        <is>
          <t>L3.5</t>
        </is>
      </c>
      <c r="E8" s="4" t="inlineStr">
        <is>
          <t>High</t>
        </is>
      </c>
      <c r="F8" s="4" t="inlineStr">
        <is>
          <t>Read-only copy of process data for business users</t>
        </is>
      </c>
      <c r="G8" s="4" t="inlineStr">
        <is>
          <t>Pivot into OT via replication; data disclosure</t>
        </is>
      </c>
      <c r="H8" s="4" t="inlineStr">
        <is>
          <t>T-04, T-18, T-29</t>
        </is>
      </c>
    </row>
    <row r="9">
      <c r="A9" s="4" t="inlineStr">
        <is>
          <t>A-08</t>
        </is>
      </c>
      <c r="B9" s="4" t="inlineStr">
        <is>
          <t>Jump server</t>
        </is>
      </c>
      <c r="C9" s="4" t="inlineStr">
        <is>
          <t>Z2</t>
        </is>
      </c>
      <c r="D9" s="4" t="inlineStr">
        <is>
          <t>L3.5</t>
        </is>
      </c>
      <c r="E9" s="4" t="inlineStr">
        <is>
          <t>High</t>
        </is>
      </c>
      <c r="F9" s="4" t="inlineStr">
        <is>
          <t>Brokered RDP from IT / vendor into OT</t>
        </is>
      </c>
      <c r="G9" s="4" t="inlineStr">
        <is>
          <t>Pivot point into OT</t>
        </is>
      </c>
      <c r="H9" s="4" t="inlineStr">
        <is>
          <t>T-07, T-25</t>
        </is>
      </c>
    </row>
    <row r="10">
      <c r="A10" s="4" t="inlineStr">
        <is>
          <t>A-09</t>
        </is>
      </c>
      <c r="B10" s="4" t="inlineStr">
        <is>
          <t>Remote-access gateway (SSL VPN)</t>
        </is>
      </c>
      <c r="C10" s="4" t="inlineStr">
        <is>
          <t>Z2</t>
        </is>
      </c>
      <c r="D10" s="4" t="inlineStr">
        <is>
          <t>L3.5</t>
        </is>
      </c>
      <c r="E10" s="4" t="inlineStr">
        <is>
          <t>Critical</t>
        </is>
      </c>
      <c r="F10" s="4" t="inlineStr">
        <is>
          <t>Internet-facing VPN for vendor remote support</t>
        </is>
      </c>
      <c r="G10" s="4" t="inlineStr">
        <is>
          <t>Internet-exposed edge device; credential attacks</t>
        </is>
      </c>
      <c r="H10" s="4" t="inlineStr">
        <is>
          <t>T-01, T-26</t>
        </is>
      </c>
    </row>
    <row r="11">
      <c r="A11" s="4" t="inlineStr">
        <is>
          <t>A-10</t>
        </is>
      </c>
      <c r="B11" s="4" t="inlineStr">
        <is>
          <t>SCADA server / HMI (2 operator stations)</t>
        </is>
      </c>
      <c r="C11" s="4" t="inlineStr">
        <is>
          <t>Z3</t>
        </is>
      </c>
      <c r="D11" s="4" t="inlineStr">
        <is>
          <t>L2</t>
        </is>
      </c>
      <c r="E11" s="4" t="inlineStr">
        <is>
          <t>Critical</t>
        </is>
      </c>
      <c r="F11" s="4" t="inlineStr">
        <is>
          <t>Operator supervision and control of all three lines</t>
        </is>
      </c>
      <c r="G11" s="4" t="inlineStr">
        <is>
          <t>Manipulated commands; loss of view</t>
        </is>
      </c>
      <c r="H11" s="4" t="inlineStr">
        <is>
          <t>T-03, T-08, T-15, T-17, T-27, T-28</t>
        </is>
      </c>
    </row>
    <row r="12">
      <c r="A12" s="4" t="inlineStr">
        <is>
          <t>A-11</t>
        </is>
      </c>
      <c r="B12" s="4" t="inlineStr">
        <is>
          <t>Engineering workstation (EWS)</t>
        </is>
      </c>
      <c r="C12" s="4" t="inlineStr">
        <is>
          <t>Z3</t>
        </is>
      </c>
      <c r="D12" s="4" t="inlineStr">
        <is>
          <t>L2</t>
        </is>
      </c>
      <c r="E12" s="4" t="inlineStr">
        <is>
          <t>Critical</t>
        </is>
      </c>
      <c r="F12" s="4" t="inlineStr">
        <is>
          <t>PLC/robot programming; holds only copies of PLC projects</t>
        </is>
      </c>
      <c r="G12" s="4" t="inlineStr">
        <is>
          <t>Malware / credential theft -&gt; PLC logic changes</t>
        </is>
      </c>
      <c r="H12" s="4" t="inlineStr">
        <is>
          <t>T-02, T-06, T-08, T-23, T-24, T-27, T-28</t>
        </is>
      </c>
    </row>
    <row r="13">
      <c r="A13" s="4" t="inlineStr">
        <is>
          <t>A-12</t>
        </is>
      </c>
      <c r="B13" s="4" t="inlineStr">
        <is>
          <t>Process historian</t>
        </is>
      </c>
      <c r="C13" s="4" t="inlineStr">
        <is>
          <t>Z3</t>
        </is>
      </c>
      <c r="D13" s="4" t="inlineStr">
        <is>
          <t>L3</t>
        </is>
      </c>
      <c r="E13" s="4" t="inlineStr">
        <is>
          <t>High</t>
        </is>
      </c>
      <c r="F13" s="4" t="inlineStr">
        <is>
          <t>Stores process and quality (weld/torque) records</t>
        </is>
      </c>
      <c r="G13" s="4" t="inlineStr">
        <is>
          <t>Integrity of traceability data; availability</t>
        </is>
      </c>
      <c r="H13" s="4" t="inlineStr">
        <is>
          <t>T-08, T-18, T-19, T-29</t>
        </is>
      </c>
    </row>
    <row r="14">
      <c r="A14" s="4" t="inlineStr">
        <is>
          <t>A-13</t>
        </is>
      </c>
      <c r="B14" s="4" t="inlineStr">
        <is>
          <t>OPC UA server</t>
        </is>
      </c>
      <c r="C14" s="4" t="inlineStr">
        <is>
          <t>Z3</t>
        </is>
      </c>
      <c r="D14" s="4" t="inlineStr">
        <is>
          <t>L3</t>
        </is>
      </c>
      <c r="E14" s="4" t="inlineStr">
        <is>
          <t>High</t>
        </is>
      </c>
      <c r="F14" s="4" t="inlineStr">
        <is>
          <t>Aggregates PLC tags for historian and IIoT gateway</t>
        </is>
      </c>
      <c r="G14" s="4" t="inlineStr">
        <is>
          <t>Unauthorized access; tag writes</t>
        </is>
      </c>
      <c r="H14" s="4" t="inlineStr">
        <is>
          <t>T-20</t>
        </is>
      </c>
    </row>
    <row r="15">
      <c r="A15" s="4" t="inlineStr">
        <is>
          <t>A-14</t>
        </is>
      </c>
      <c r="B15" s="4" t="inlineStr">
        <is>
          <t>PLC-01 Conveyor</t>
        </is>
      </c>
      <c r="C15" s="4" t="inlineStr">
        <is>
          <t>Z4</t>
        </is>
      </c>
      <c r="D15" s="4" t="inlineStr">
        <is>
          <t>L1</t>
        </is>
      </c>
      <c r="E15" s="4" t="inlineStr">
        <is>
          <t>Critical</t>
        </is>
      </c>
      <c r="F15" s="4" t="inlineStr">
        <is>
          <t>Controls material flow between machining and welding</t>
        </is>
      </c>
      <c r="G15" s="4" t="inlineStr">
        <is>
          <t>Unauthorized logic changes / stop commands</t>
        </is>
      </c>
      <c r="H15" s="4" t="inlineStr">
        <is>
          <t>T-02, T-05, T-15, T-21, T-23, T-27, T-30</t>
        </is>
      </c>
    </row>
    <row r="16">
      <c r="A16" s="4" t="inlineStr">
        <is>
          <t>A-15</t>
        </is>
      </c>
      <c r="B16" s="4" t="inlineStr">
        <is>
          <t>PLC-02 Robotic welding cell</t>
        </is>
      </c>
      <c r="C16" s="4" t="inlineStr">
        <is>
          <t>Z4</t>
        </is>
      </c>
      <c r="D16" s="4" t="inlineStr">
        <is>
          <t>L1</t>
        </is>
      </c>
      <c r="E16" s="4" t="inlineStr">
        <is>
          <t>Critical</t>
        </is>
      </c>
      <c r="F16" s="4" t="inlineStr">
        <is>
          <t>Sequences robot arm and weld controller</t>
        </is>
      </c>
      <c r="G16" s="4" t="inlineStr">
        <is>
          <t>Parameter tampering -&gt; defective welds, equipment damage</t>
        </is>
      </c>
      <c r="H16" s="4" t="inlineStr">
        <is>
          <t>T-02, T-05, T-15, T-21, T-22, T-23, T-27, T-30</t>
        </is>
      </c>
    </row>
    <row r="17">
      <c r="A17" s="4" t="inlineStr">
        <is>
          <t>A-16</t>
        </is>
      </c>
      <c r="B17" s="4" t="inlineStr">
        <is>
          <t>PLC-03 Packaging</t>
        </is>
      </c>
      <c r="C17" s="4" t="inlineStr">
        <is>
          <t>Z4</t>
        </is>
      </c>
      <c r="D17" s="4" t="inlineStr">
        <is>
          <t>L1</t>
        </is>
      </c>
      <c r="E17" s="4" t="inlineStr">
        <is>
          <t>High</t>
        </is>
      </c>
      <c r="F17" s="4" t="inlineStr">
        <is>
          <t>Packing, labelling and palletising</t>
        </is>
      </c>
      <c r="G17" s="4" t="inlineStr">
        <is>
          <t>Disruption of shipping; labelling errors</t>
        </is>
      </c>
      <c r="H17" s="4" t="inlineStr">
        <is>
          <t>T-02, T-05, T-15, T-21, T-23, T-27, T-30</t>
        </is>
      </c>
    </row>
    <row r="18">
      <c r="A18" s="4" t="inlineStr">
        <is>
          <t>A-17</t>
        </is>
      </c>
      <c r="B18" s="4" t="inlineStr">
        <is>
          <t>Field devices (sensors, drives, actuators)</t>
        </is>
      </c>
      <c r="C18" s="4" t="inlineStr">
        <is>
          <t>Z5</t>
        </is>
      </c>
      <c r="D18" s="4" t="inlineStr">
        <is>
          <t>L0</t>
        </is>
      </c>
      <c r="E18" s="4" t="inlineStr">
        <is>
          <t>High</t>
        </is>
      </c>
      <c r="F18" s="4" t="inlineStr">
        <is>
          <t>Physical sensing and actuation</t>
        </is>
      </c>
      <c r="G18" s="4" t="inlineStr">
        <is>
          <t>Driven to unsafe/undesired states by PLC</t>
        </is>
      </c>
      <c r="H18" s="4" t="inlineStr"/>
    </row>
    <row r="19">
      <c r="A19" s="4" t="inlineStr">
        <is>
          <t>A-18</t>
        </is>
      </c>
      <c r="B19" s="4" t="inlineStr">
        <is>
          <t>Hardwired safety circuits</t>
        </is>
      </c>
      <c r="C19" s="4" t="inlineStr">
        <is>
          <t>Z5</t>
        </is>
      </c>
      <c r="D19" s="4" t="inlineStr">
        <is>
          <t>L0</t>
        </is>
      </c>
      <c r="E19" s="4" t="inlineStr">
        <is>
          <t>Critical</t>
        </is>
      </c>
      <c r="F19" s="4" t="inlineStr">
        <is>
          <t>E-stops, light curtains, door interlocks, safety relays</t>
        </is>
      </c>
      <c r="G19" s="4" t="inlineStr">
        <is>
          <t>Out of cyber scope - not networked (assumption)</t>
        </is>
      </c>
      <c r="H19" s="4" t="inlineStr"/>
    </row>
    <row r="20">
      <c r="A20" s="4" t="inlineStr">
        <is>
          <t>A-19</t>
        </is>
      </c>
      <c r="B20" s="4" t="inlineStr">
        <is>
          <t>IIoT gateway + LTE router</t>
        </is>
      </c>
      <c r="C20" s="4" t="inlineStr">
        <is>
          <t>Z6</t>
        </is>
      </c>
      <c r="D20" s="4" t="inlineStr">
        <is>
          <t>-</t>
        </is>
      </c>
      <c r="E20" s="4" t="inlineStr">
        <is>
          <t>High</t>
        </is>
      </c>
      <c r="F20" s="4" t="inlineStr">
        <is>
          <t>Collects vibration and OPC UA data, ships to cloud</t>
        </is>
      </c>
      <c r="G20" s="4" t="inlineStr">
        <is>
          <t>Uncontrolled OT/Internet bridge</t>
        </is>
      </c>
      <c r="H20" s="4" t="inlineStr">
        <is>
          <t>T-11, T-13, T-14</t>
        </is>
      </c>
    </row>
    <row r="21">
      <c r="A21" s="4" t="inlineStr">
        <is>
          <t>A-20</t>
        </is>
      </c>
      <c r="B21" s="4" t="inlineStr">
        <is>
          <t>Wireless vibration sensors (24)</t>
        </is>
      </c>
      <c r="C21" s="4" t="inlineStr">
        <is>
          <t>Z6</t>
        </is>
      </c>
      <c r="D21" s="4" t="inlineStr">
        <is>
          <t>L0</t>
        </is>
      </c>
      <c r="E21" s="4" t="inlineStr">
        <is>
          <t>Low</t>
        </is>
      </c>
      <c r="F21" s="4" t="inlineStr">
        <is>
          <t>Condition monitoring on spindles and conveyor motors</t>
        </is>
      </c>
      <c r="G21" s="4" t="inlineStr">
        <is>
          <t>Spoofed readings</t>
        </is>
      </c>
      <c r="H21" s="4" t="inlineStr">
        <is>
          <t>T-14</t>
        </is>
      </c>
    </row>
    <row r="22">
      <c r="A22" s="4" t="inlineStr">
        <is>
          <t>A-21</t>
        </is>
      </c>
      <c r="B22" s="4" t="inlineStr">
        <is>
          <t>Cloud analytics platform (SaaS)</t>
        </is>
      </c>
      <c r="C22" s="4" t="inlineStr">
        <is>
          <t>Z6</t>
        </is>
      </c>
      <c r="D22" s="4" t="inlineStr">
        <is>
          <t>-</t>
        </is>
      </c>
      <c r="E22" s="4" t="inlineStr">
        <is>
          <t>Medium</t>
        </is>
      </c>
      <c r="F22" s="4" t="inlineStr">
        <is>
          <t>Predictive maintenance dashboards</t>
        </is>
      </c>
      <c r="G22" s="4" t="inlineStr">
        <is>
          <t>Data exposure; malicious updates to gateway</t>
        </is>
      </c>
      <c r="H22" s="4" t="inlineStr">
        <is>
          <t>T-12, T-13</t>
        </is>
      </c>
    </row>
    <row r="23">
      <c r="A23" s="4" t="inlineStr">
        <is>
          <t>A-22</t>
        </is>
      </c>
      <c r="B23" s="4" t="inlineStr">
        <is>
          <t>Vendor remote support (RoboServ)</t>
        </is>
      </c>
      <c r="C23" s="4" t="inlineStr">
        <is>
          <t>Z7</t>
        </is>
      </c>
      <c r="D23" s="4" t="inlineStr">
        <is>
          <t>-</t>
        </is>
      </c>
      <c r="E23" s="4" t="inlineStr">
        <is>
          <t>High</t>
        </is>
      </c>
      <c r="F23" s="4" t="inlineStr">
        <is>
          <t>External engineers maintaining PLCs and robot cell</t>
        </is>
      </c>
      <c r="G23" s="4" t="inlineStr">
        <is>
          <t>Third-party credential compromise</t>
        </is>
      </c>
      <c r="H23" s="4" t="inlineStr">
        <is>
          <t>T-01, T-24</t>
        </is>
      </c>
    </row>
    <row r="24">
      <c r="A24" s="4" t="inlineStr">
        <is>
          <t>A-23</t>
        </is>
      </c>
      <c r="B24" s="4" t="inlineStr">
        <is>
          <t>OT network switches</t>
        </is>
      </c>
      <c r="C24" s="4" t="inlineStr">
        <is>
          <t>Z3</t>
        </is>
      </c>
      <c r="D24" s="4" t="inlineStr">
        <is>
          <t>L2</t>
        </is>
      </c>
      <c r="E24" s="4" t="inlineStr">
        <is>
          <t>High</t>
        </is>
      </c>
      <c r="F24" s="4" t="inlineStr">
        <is>
          <t>OT core and cell access switching</t>
        </is>
      </c>
      <c r="G24" s="4" t="inlineStr">
        <is>
          <t>Flat network; open ports in control cabinets</t>
        </is>
      </c>
      <c r="H24" s="4" t="inlineStr">
        <is>
          <t>T-05, T-16, T-30</t>
        </is>
      </c>
    </row>
  </sheetData>
  <autoFilter ref="A1:H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32" customWidth="1" min="4" max="4"/>
    <col width="20" customWidth="1" min="5" max="5"/>
    <col width="44" customWidth="1" min="6" max="6"/>
    <col width="24" customWidth="1" min="7" max="7"/>
  </cols>
  <sheetData>
    <row r="1">
      <c r="A1" s="3" t="inlineStr">
        <is>
          <t>ID</t>
        </is>
      </c>
      <c r="B1" s="3" t="inlineStr">
        <is>
          <t>Source</t>
        </is>
      </c>
      <c r="C1" s="3" t="inlineStr">
        <is>
          <t>Destination</t>
        </is>
      </c>
      <c r="D1" s="3" t="inlineStr">
        <is>
          <t>Protocol</t>
        </is>
      </c>
      <c r="E1" s="3" t="inlineStr">
        <is>
          <t>Trust boundary</t>
        </is>
      </c>
      <c r="F1" s="3" t="inlineStr">
        <is>
          <t>Description</t>
        </is>
      </c>
      <c r="G1" s="3" t="inlineStr">
        <is>
          <t>Threats</t>
        </is>
      </c>
    </row>
    <row r="2">
      <c r="A2" s="4" t="inlineStr">
        <is>
          <t>DF-01</t>
        </is>
      </c>
      <c r="B2" s="4" t="inlineStr">
        <is>
          <t>Operator</t>
        </is>
      </c>
      <c r="C2" s="4" t="inlineStr">
        <is>
          <t>SCADA/HMI</t>
        </is>
      </c>
      <c r="D2" s="4" t="inlineStr">
        <is>
          <t>Local console (keyboard/touch)</t>
        </is>
      </c>
      <c r="E2" s="4" t="inlineStr">
        <is>
          <t>-</t>
        </is>
      </c>
      <c r="F2" s="4" t="inlineStr">
        <is>
          <t>Operator commands, setpoints, alarm acknowledgement</t>
        </is>
      </c>
      <c r="G2" s="4" t="inlineStr">
        <is>
          <t>T-03, T-17</t>
        </is>
      </c>
    </row>
    <row r="3">
      <c r="A3" s="4" t="inlineStr">
        <is>
          <t>DF-02</t>
        </is>
      </c>
      <c r="B3" s="4" t="inlineStr">
        <is>
          <t>SCADA/HMI</t>
        </is>
      </c>
      <c r="C3" s="4" t="inlineStr">
        <is>
          <t>PLC-01/02/03</t>
        </is>
      </c>
      <c r="D3" s="4" t="inlineStr">
        <is>
          <t>Modbus/TCP 502 (read/write)</t>
        </is>
      </c>
      <c r="E3" s="4" t="inlineStr">
        <is>
          <t>TB-4</t>
        </is>
      </c>
      <c r="F3" s="4" t="inlineStr">
        <is>
          <t>Supervisory reads and writes of coils/registers</t>
        </is>
      </c>
      <c r="G3" s="4" t="inlineStr">
        <is>
          <t>T-05, T-15, T-16, T-17, T-22, T-30</t>
        </is>
      </c>
    </row>
    <row r="4">
      <c r="A4" s="4" t="inlineStr">
        <is>
          <t>DF-03</t>
        </is>
      </c>
      <c r="B4" s="4" t="inlineStr">
        <is>
          <t>Engineering WS</t>
        </is>
      </c>
      <c r="C4" s="4" t="inlineStr">
        <is>
          <t>PLC-01/02/03</t>
        </is>
      </c>
      <c r="D4" s="4" t="inlineStr">
        <is>
          <t>PLC engineering protocol (vendor proprietary)</t>
        </is>
      </c>
      <c r="E4" s="4" t="inlineStr">
        <is>
          <t>TB-4</t>
        </is>
      </c>
      <c r="F4" s="4" t="inlineStr">
        <is>
          <t>Program download/upload, online edits, mode changes</t>
        </is>
      </c>
      <c r="G4" s="4" t="inlineStr">
        <is>
          <t>T-02, T-06, T-16, T-21, T-22, T-23, T-27, T-30</t>
        </is>
      </c>
    </row>
    <row r="5">
      <c r="A5" s="4" t="inlineStr">
        <is>
          <t>DF-04</t>
        </is>
      </c>
      <c r="B5" s="4" t="inlineStr">
        <is>
          <t>PLC-01/02/03</t>
        </is>
      </c>
      <c r="C5" s="4" t="inlineStr">
        <is>
          <t>Field devices</t>
        </is>
      </c>
      <c r="D5" s="4" t="inlineStr">
        <is>
          <t>Hardwired I/O, 4-20 mA, fieldbus</t>
        </is>
      </c>
      <c r="E5" s="4" t="inlineStr">
        <is>
          <t>TB-5</t>
        </is>
      </c>
      <c r="F5" s="4" t="inlineStr">
        <is>
          <t>Sensor inputs and actuator outputs</t>
        </is>
      </c>
      <c r="G5" s="4" t="inlineStr"/>
    </row>
    <row r="6">
      <c r="A6" s="4" t="inlineStr">
        <is>
          <t>DF-05</t>
        </is>
      </c>
      <c r="B6" s="4" t="inlineStr">
        <is>
          <t>PLC-01/02/03</t>
        </is>
      </c>
      <c r="C6" s="4" t="inlineStr">
        <is>
          <t>OPC UA server</t>
        </is>
      </c>
      <c r="D6" s="4" t="inlineStr">
        <is>
          <t>Modbus/TCP 502 (polled)</t>
        </is>
      </c>
      <c r="E6" s="4" t="inlineStr">
        <is>
          <t>TB-4</t>
        </is>
      </c>
      <c r="F6" s="4" t="inlineStr">
        <is>
          <t>Tag values for aggregation</t>
        </is>
      </c>
      <c r="G6" s="4" t="inlineStr">
        <is>
          <t>T-05, T-16, T-20</t>
        </is>
      </c>
    </row>
    <row r="7">
      <c r="A7" s="4" t="inlineStr">
        <is>
          <t>DF-06</t>
        </is>
      </c>
      <c r="B7" s="4" t="inlineStr">
        <is>
          <t>OPC UA server</t>
        </is>
      </c>
      <c r="C7" s="4" t="inlineStr">
        <is>
          <t>Historian</t>
        </is>
      </c>
      <c r="D7" s="4" t="inlineStr">
        <is>
          <t>OPC UA 4840 (SecurityMode None)</t>
        </is>
      </c>
      <c r="E7" s="4" t="inlineStr">
        <is>
          <t>-</t>
        </is>
      </c>
      <c r="F7" s="4" t="inlineStr">
        <is>
          <t>Process and quality data for storage</t>
        </is>
      </c>
      <c r="G7" s="4" t="inlineStr">
        <is>
          <t>T-18, T-19, T-20</t>
        </is>
      </c>
    </row>
    <row r="8">
      <c r="A8" s="4" t="inlineStr">
        <is>
          <t>DF-07</t>
        </is>
      </c>
      <c r="B8" s="4" t="inlineStr">
        <is>
          <t>Historian</t>
        </is>
      </c>
      <c r="C8" s="4" t="inlineStr">
        <is>
          <t>Historian replica</t>
        </is>
      </c>
      <c r="D8" s="4" t="inlineStr">
        <is>
          <t>SQL replication 1433 (bidirectional)</t>
        </is>
      </c>
      <c r="E8" s="4" t="inlineStr">
        <is>
          <t>TB-3</t>
        </is>
      </c>
      <c r="F8" s="4" t="inlineStr">
        <is>
          <t>Replication of process data to the IDMZ</t>
        </is>
      </c>
      <c r="G8" s="4" t="inlineStr">
        <is>
          <t>T-18, T-29</t>
        </is>
      </c>
    </row>
    <row r="9">
      <c r="A9" s="4" t="inlineStr">
        <is>
          <t>DF-08</t>
        </is>
      </c>
      <c r="B9" s="4" t="inlineStr">
        <is>
          <t>Business users / ERP</t>
        </is>
      </c>
      <c r="C9" s="4" t="inlineStr">
        <is>
          <t>Historian replica</t>
        </is>
      </c>
      <c r="D9" s="4" t="inlineStr">
        <is>
          <t>HTTPS reports, SQL</t>
        </is>
      </c>
      <c r="E9" s="4" t="inlineStr">
        <is>
          <t>TB-2</t>
        </is>
      </c>
      <c r="F9" s="4" t="inlineStr">
        <is>
          <t>OEE, quality and production reports</t>
        </is>
      </c>
      <c r="G9" s="4" t="inlineStr">
        <is>
          <t>T-04</t>
        </is>
      </c>
    </row>
    <row r="10">
      <c r="A10" s="4" t="inlineStr">
        <is>
          <t>DF-09</t>
        </is>
      </c>
      <c r="B10" s="4" t="inlineStr">
        <is>
          <t>Vendor engineer</t>
        </is>
      </c>
      <c r="C10" s="4" t="inlineStr">
        <is>
          <t>Remote-access gateway</t>
        </is>
      </c>
      <c r="D10" s="4" t="inlineStr">
        <is>
          <t>SSL VPN over Internet</t>
        </is>
      </c>
      <c r="E10" s="4" t="inlineStr">
        <is>
          <t>TB-7 / TB-1</t>
        </is>
      </c>
      <c r="F10" s="4" t="inlineStr">
        <is>
          <t>Vendor remote session establishment</t>
        </is>
      </c>
      <c r="G10" s="4" t="inlineStr">
        <is>
          <t>T-01, T-26</t>
        </is>
      </c>
    </row>
    <row r="11">
      <c r="A11" s="4" t="inlineStr">
        <is>
          <t>DF-10</t>
        </is>
      </c>
      <c r="B11" s="4" t="inlineStr">
        <is>
          <t>Remote-access gateway</t>
        </is>
      </c>
      <c r="C11" s="4" t="inlineStr">
        <is>
          <t>Jump server</t>
        </is>
      </c>
      <c r="D11" s="4" t="inlineStr">
        <is>
          <t>RDP 3389</t>
        </is>
      </c>
      <c r="E11" s="4" t="inlineStr">
        <is>
          <t>-</t>
        </is>
      </c>
      <c r="F11" s="4" t="inlineStr">
        <is>
          <t>Vendor session brokered to jump server</t>
        </is>
      </c>
      <c r="G11" s="4" t="inlineStr">
        <is>
          <t>T-07, T-25</t>
        </is>
      </c>
    </row>
    <row r="12">
      <c r="A12" s="4" t="inlineStr">
        <is>
          <t>DF-11</t>
        </is>
      </c>
      <c r="B12" s="4" t="inlineStr">
        <is>
          <t>Jump server</t>
        </is>
      </c>
      <c r="C12" s="4" t="inlineStr">
        <is>
          <t>Engineering WS</t>
        </is>
      </c>
      <c r="D12" s="4" t="inlineStr">
        <is>
          <t>RDP 3389</t>
        </is>
      </c>
      <c r="E12" s="4" t="inlineStr">
        <is>
          <t>TB-3</t>
        </is>
      </c>
      <c r="F12" s="4" t="inlineStr">
        <is>
          <t>Second-hop RDP into OT</t>
        </is>
      </c>
      <c r="G12" s="4" t="inlineStr">
        <is>
          <t>T-06, T-07, T-25</t>
        </is>
      </c>
    </row>
    <row r="13">
      <c r="A13" s="4" t="inlineStr">
        <is>
          <t>DF-12</t>
        </is>
      </c>
      <c r="B13" s="4" t="inlineStr">
        <is>
          <t>IT administrator</t>
        </is>
      </c>
      <c r="C13" s="4" t="inlineStr">
        <is>
          <t>Jump server</t>
        </is>
      </c>
      <c r="D13" s="4" t="inlineStr">
        <is>
          <t>RDP 3389</t>
        </is>
      </c>
      <c r="E13" s="4" t="inlineStr">
        <is>
          <t>TB-2</t>
        </is>
      </c>
      <c r="F13" s="4" t="inlineStr">
        <is>
          <t>IT administration of OT Windows hosts</t>
        </is>
      </c>
      <c r="G13" s="4" t="inlineStr">
        <is>
          <t>T-07, T-10, T-25</t>
        </is>
      </c>
    </row>
    <row r="14">
      <c r="A14" s="4" t="inlineStr">
        <is>
          <t>DF-13</t>
        </is>
      </c>
      <c r="B14" s="4" t="inlineStr">
        <is>
          <t>OT Windows hosts</t>
        </is>
      </c>
      <c r="C14" s="4" t="inlineStr">
        <is>
          <t>Active Directory</t>
        </is>
      </c>
      <c r="D14" s="4" t="inlineStr">
        <is>
          <t>Kerberos, LDAP, SMB (direct)</t>
        </is>
      </c>
      <c r="E14" s="4" t="inlineStr">
        <is>
          <t>TB-3 + TB-2 (bypasses IDMZ)</t>
        </is>
      </c>
      <c r="F14" s="4" t="inlineStr">
        <is>
          <t>OT hosts are joined to the corporate domain</t>
        </is>
      </c>
      <c r="G14" s="4" t="inlineStr">
        <is>
          <t>T-08, T-10</t>
        </is>
      </c>
    </row>
    <row r="15">
      <c r="A15" s="4" t="inlineStr">
        <is>
          <t>DF-14</t>
        </is>
      </c>
      <c r="B15" s="4" t="inlineStr">
        <is>
          <t>OPC UA server</t>
        </is>
      </c>
      <c r="C15" s="4" t="inlineStr">
        <is>
          <t>IIoT gateway</t>
        </is>
      </c>
      <c r="D15" s="4" t="inlineStr">
        <is>
          <t>OPC UA 4840 subscription</t>
        </is>
      </c>
      <c r="E15" s="4" t="inlineStr">
        <is>
          <t>TB-6</t>
        </is>
      </c>
      <c r="F15" s="4" t="inlineStr">
        <is>
          <t>Selected tags forwarded for analytics</t>
        </is>
      </c>
      <c r="G15" s="4" t="inlineStr">
        <is>
          <t>T-11, T-20</t>
        </is>
      </c>
    </row>
    <row r="16">
      <c r="A16" s="4" t="inlineStr">
        <is>
          <t>DF-15</t>
        </is>
      </c>
      <c r="B16" s="4" t="inlineStr">
        <is>
          <t>Vibration sensors</t>
        </is>
      </c>
      <c r="C16" s="4" t="inlineStr">
        <is>
          <t>IIoT gateway</t>
        </is>
      </c>
      <c r="D16" s="4" t="inlineStr">
        <is>
          <t>Proprietary 2.4 GHz wireless</t>
        </is>
      </c>
      <c r="E16" s="4" t="inlineStr">
        <is>
          <t>TB-6</t>
        </is>
      </c>
      <c r="F16" s="4" t="inlineStr">
        <is>
          <t>Condition-monitoring measurements</t>
        </is>
      </c>
      <c r="G16" s="4" t="inlineStr">
        <is>
          <t>T-14</t>
        </is>
      </c>
    </row>
    <row r="17">
      <c r="A17" s="4" t="inlineStr">
        <is>
          <t>DF-16</t>
        </is>
      </c>
      <c r="B17" s="4" t="inlineStr">
        <is>
          <t>IIoT gateway</t>
        </is>
      </c>
      <c r="C17" s="4" t="inlineStr">
        <is>
          <t>Cloud analytics</t>
        </is>
      </c>
      <c r="D17" s="4" t="inlineStr">
        <is>
          <t>MQTT/TLS 8883 over LTE</t>
        </is>
      </c>
      <c r="E17" s="4" t="inlineStr">
        <is>
          <t>TB-6</t>
        </is>
      </c>
      <c r="F17" s="4" t="inlineStr">
        <is>
          <t>Telemetry upload, bypassing the IDMZ</t>
        </is>
      </c>
      <c r="G17" s="4" t="inlineStr">
        <is>
          <t>T-11, T-12</t>
        </is>
      </c>
    </row>
    <row r="18">
      <c r="A18" s="4" t="inlineStr">
        <is>
          <t>DF-17</t>
        </is>
      </c>
      <c r="B18" s="4" t="inlineStr">
        <is>
          <t>Cloud analytics</t>
        </is>
      </c>
      <c r="C18" s="4" t="inlineStr">
        <is>
          <t>IIoT gateway</t>
        </is>
      </c>
      <c r="D18" s="4" t="inlineStr">
        <is>
          <t>HTTPS (device management)</t>
        </is>
      </c>
      <c r="E18" s="4" t="inlineStr">
        <is>
          <t>TB-6</t>
        </is>
      </c>
      <c r="F18" s="4" t="inlineStr">
        <is>
          <t>Remote configuration and firmware updates</t>
        </is>
      </c>
      <c r="G18" s="4" t="inlineStr">
        <is>
          <t>T-13</t>
        </is>
      </c>
    </row>
    <row r="19">
      <c r="A19" s="4" t="inlineStr">
        <is>
          <t>DF-18</t>
        </is>
      </c>
      <c r="B19" s="4" t="inlineStr">
        <is>
          <t>Internet</t>
        </is>
      </c>
      <c r="C19" s="4" t="inlineStr">
        <is>
          <t>Email / workstations</t>
        </is>
      </c>
      <c r="D19" s="4" t="inlineStr">
        <is>
          <t>SMTP, HTTPS</t>
        </is>
      </c>
      <c r="E19" s="4" t="inlineStr">
        <is>
          <t>TB-1</t>
        </is>
      </c>
      <c r="F19" s="4" t="inlineStr">
        <is>
          <t>Inbound email and web browsing</t>
        </is>
      </c>
      <c r="G19" s="4" t="inlineStr">
        <is>
          <t>T-09</t>
        </is>
      </c>
    </row>
    <row r="20">
      <c r="A20" s="4" t="inlineStr">
        <is>
          <t>DF-19</t>
        </is>
      </c>
      <c r="B20" s="4" t="inlineStr">
        <is>
          <t>Contractor USB media</t>
        </is>
      </c>
      <c r="C20" s="4" t="inlineStr">
        <is>
          <t>Engineering WS / HMI</t>
        </is>
      </c>
      <c r="D20" s="4" t="inlineStr">
        <is>
          <t>Removable media</t>
        </is>
      </c>
      <c r="E20" s="4" t="inlineStr">
        <is>
          <t>Physical</t>
        </is>
      </c>
      <c r="F20" s="4" t="inlineStr">
        <is>
          <t>Ad-hoc transfer of project files and drivers</t>
        </is>
      </c>
      <c r="G20" s="4" t="inlineStr">
        <is>
          <t>T-28</t>
        </is>
      </c>
    </row>
    <row r="21">
      <c r="A21" s="4" t="inlineStr">
        <is>
          <t>DF-20</t>
        </is>
      </c>
      <c r="B21" s="4" t="inlineStr">
        <is>
          <t>Internet (TeamViewer)</t>
        </is>
      </c>
      <c r="C21" s="4" t="inlineStr">
        <is>
          <t>Engineering WS</t>
        </is>
      </c>
      <c r="D21" s="4" t="inlineStr">
        <is>
          <t>TeamViewer (outbound-initiated)</t>
        </is>
      </c>
      <c r="E21" s="4" t="inlineStr">
        <is>
          <t>Bypasses TB-1..TB-3</t>
        </is>
      </c>
      <c r="F21" s="4" t="inlineStr">
        <is>
          <t>Unapproved vendor 'emergency' remote access discovered during assessment</t>
        </is>
      </c>
      <c r="G21" s="4" t="inlineStr">
        <is>
          <t>T-24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3" t="inlineStr">
        <is>
          <t>Element type</t>
        </is>
      </c>
      <c r="B1" s="3" t="inlineStr">
        <is>
          <t>S</t>
        </is>
      </c>
      <c r="C1" s="3" t="inlineStr">
        <is>
          <t>T</t>
        </is>
      </c>
      <c r="D1" s="3" t="inlineStr">
        <is>
          <t>R</t>
        </is>
      </c>
      <c r="E1" s="3" t="inlineStr">
        <is>
          <t>I</t>
        </is>
      </c>
      <c r="F1" s="3" t="inlineStr">
        <is>
          <t>D</t>
        </is>
      </c>
      <c r="G1" s="3" t="inlineStr">
        <is>
          <t>E</t>
        </is>
      </c>
    </row>
    <row r="2">
      <c r="A2" s="4" t="inlineStr">
        <is>
          <t>External entity</t>
        </is>
      </c>
      <c r="B2" s="4" t="inlineStr">
        <is>
          <t>X</t>
        </is>
      </c>
      <c r="C2" s="4" t="inlineStr"/>
      <c r="D2" s="4" t="inlineStr">
        <is>
          <t>X</t>
        </is>
      </c>
      <c r="E2" s="4" t="inlineStr"/>
      <c r="F2" s="4" t="inlineStr"/>
      <c r="G2" s="4" t="inlineStr"/>
    </row>
    <row r="3">
      <c r="A3" s="4" t="inlineStr">
        <is>
          <t>Process</t>
        </is>
      </c>
      <c r="B3" s="4" t="inlineStr">
        <is>
          <t>X</t>
        </is>
      </c>
      <c r="C3" s="4" t="inlineStr">
        <is>
          <t>X</t>
        </is>
      </c>
      <c r="D3" s="4" t="inlineStr">
        <is>
          <t>X</t>
        </is>
      </c>
      <c r="E3" s="4" t="inlineStr">
        <is>
          <t>X</t>
        </is>
      </c>
      <c r="F3" s="4" t="inlineStr">
        <is>
          <t>X</t>
        </is>
      </c>
      <c r="G3" s="4" t="inlineStr">
        <is>
          <t>X</t>
        </is>
      </c>
    </row>
    <row r="4">
      <c r="A4" s="4" t="inlineStr">
        <is>
          <t>Data store</t>
        </is>
      </c>
      <c r="B4" s="4" t="inlineStr"/>
      <c r="C4" s="4" t="inlineStr">
        <is>
          <t>X</t>
        </is>
      </c>
      <c r="D4" s="4" t="inlineStr">
        <is>
          <t>(if logs)</t>
        </is>
      </c>
      <c r="E4" s="4" t="inlineStr">
        <is>
          <t>X</t>
        </is>
      </c>
      <c r="F4" s="4" t="inlineStr">
        <is>
          <t>X</t>
        </is>
      </c>
      <c r="G4" s="4" t="inlineStr"/>
    </row>
    <row r="5">
      <c r="A5" s="4" t="inlineStr">
        <is>
          <t>Data flow</t>
        </is>
      </c>
      <c r="B5" s="4" t="inlineStr"/>
      <c r="C5" s="4" t="inlineStr">
        <is>
          <t>X</t>
        </is>
      </c>
      <c r="D5" s="4" t="inlineStr"/>
      <c r="E5" s="4" t="inlineStr">
        <is>
          <t>X</t>
        </is>
      </c>
      <c r="F5" s="4" t="inlineStr">
        <is>
          <t>X</t>
        </is>
      </c>
      <c r="G5" s="4" t="inlineStr"/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7" customWidth="1" min="3" max="3"/>
    <col width="18" customWidth="1" min="4" max="4"/>
    <col width="16" customWidth="1" min="5" max="5"/>
    <col width="14" customWidth="1" min="6" max="6"/>
    <col width="60" customWidth="1" min="7" max="7"/>
    <col width="12" customWidth="1" min="8" max="8"/>
    <col width="40" customWidth="1" min="9" max="9"/>
    <col width="36" customWidth="1" min="10" max="10"/>
    <col width="10" customWidth="1" min="11" max="11"/>
    <col width="8" customWidth="1" min="12" max="12"/>
    <col width="7" customWidth="1" min="13" max="13"/>
    <col width="10" customWidth="1" min="14" max="14"/>
    <col width="48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</cols>
  <sheetData>
    <row r="1">
      <c r="A1" s="3" t="inlineStr">
        <is>
          <t>Threat ID</t>
        </is>
      </c>
      <c r="B1" s="3" t="inlineStr">
        <is>
          <t>Title</t>
        </is>
      </c>
      <c r="C1" s="3" t="inlineStr">
        <is>
          <t>STRIDE</t>
        </is>
      </c>
      <c r="D1" s="3" t="inlineStr">
        <is>
          <t>Category</t>
        </is>
      </c>
      <c r="E1" s="3" t="inlineStr">
        <is>
          <t>Assets</t>
        </is>
      </c>
      <c r="F1" s="3" t="inlineStr">
        <is>
          <t>Data flows</t>
        </is>
      </c>
      <c r="G1" s="3" t="inlineStr">
        <is>
          <t>Threat description</t>
        </is>
      </c>
      <c r="H1" s="3" t="inlineStr">
        <is>
          <t>Threat actor</t>
        </is>
      </c>
      <c r="I1" s="3" t="inlineStr">
        <is>
          <t>Attack path</t>
        </is>
      </c>
      <c r="J1" s="3" t="inlineStr">
        <is>
          <t>Existing controls</t>
        </is>
      </c>
      <c r="K1" s="3" t="inlineStr">
        <is>
          <t>Likelihood</t>
        </is>
      </c>
      <c r="L1" s="3" t="inlineStr">
        <is>
          <t>Impact</t>
        </is>
      </c>
      <c r="M1" s="3" t="inlineStr">
        <is>
          <t>Score</t>
        </is>
      </c>
      <c r="N1" s="3" t="inlineStr">
        <is>
          <t>Rating</t>
        </is>
      </c>
      <c r="O1" s="3" t="inlineStr">
        <is>
          <t>Recommended mitigation</t>
        </is>
      </c>
      <c r="P1" s="3" t="inlineStr">
        <is>
          <t>Residual L</t>
        </is>
      </c>
      <c r="Q1" s="3" t="inlineStr">
        <is>
          <t>Residual I</t>
        </is>
      </c>
      <c r="R1" s="3" t="inlineStr">
        <is>
          <t>Residual score</t>
        </is>
      </c>
      <c r="S1" s="3" t="inlineStr">
        <is>
          <t>Residual rating</t>
        </is>
      </c>
      <c r="T1" s="3" t="inlineStr">
        <is>
          <t>Attack scenarios</t>
        </is>
      </c>
    </row>
    <row r="2">
      <c r="A2" s="4" t="inlineStr">
        <is>
          <t>T-01</t>
        </is>
      </c>
      <c r="B2" s="4" t="inlineStr">
        <is>
          <t>Stolen vendor credentials used on VPN</t>
        </is>
      </c>
      <c r="C2" s="4" t="inlineStr">
        <is>
          <t>S</t>
        </is>
      </c>
      <c r="D2" s="4" t="inlineStr">
        <is>
          <t>Spoofing</t>
        </is>
      </c>
      <c r="E2" s="4" t="inlineStr">
        <is>
          <t>A-09, A-22</t>
        </is>
      </c>
      <c r="F2" s="4" t="inlineStr">
        <is>
          <t>DF-09</t>
        </is>
      </c>
      <c r="G2" s="4" t="inlineStr">
        <is>
          <t>An attacker who phishes or buys RoboServ credentials logs in to the SSL VPN as the shared 'roboserv' account and is indistinguishable from the vendor.</t>
        </is>
      </c>
      <c r="H2" s="4" t="inlineStr">
        <is>
          <t>TA-2, TA-1</t>
        </is>
      </c>
      <c r="I2" s="4" t="inlineStr">
        <is>
          <t>Vendor phishing / credential marketplace -&gt; SSL VPN -&gt; jump server</t>
        </is>
      </c>
      <c r="J2" s="4" t="inlineStr">
        <is>
          <t>Password-only VPN; single shared vendor account; account always enabled</t>
        </is>
      </c>
      <c r="K2" s="4" t="n">
        <v>4</v>
      </c>
      <c r="L2" s="4" t="n">
        <v>5</v>
      </c>
      <c r="M2" s="4">
        <f>K2*L2</f>
        <v/>
      </c>
      <c r="N2" s="4">
        <f>IF(M2&gt;=17,"Critical",IF(M2&gt;=10,"High",IF(M2&gt;=5,"Medium","Low")))</f>
        <v/>
      </c>
      <c r="O2" s="4" t="inlineStr">
        <is>
          <t>SC-01 Secure vendor remote access; SC-04 Privileged access management &amp; least privilege; SC-16 Supplier security requirements</t>
        </is>
      </c>
      <c r="P2" s="4" t="n">
        <v>2</v>
      </c>
      <c r="Q2" s="4" t="n">
        <v>5</v>
      </c>
      <c r="R2" s="4">
        <f>P2*Q2</f>
        <v/>
      </c>
      <c r="S2" s="4">
        <f>IF(R2&gt;=17,"Critical",IF(R2&gt;=10,"High",IF(R2&gt;=5,"Medium","Low")))</f>
        <v/>
      </c>
      <c r="T2" s="4" t="inlineStr">
        <is>
          <t>AS-01</t>
        </is>
      </c>
    </row>
    <row r="3">
      <c r="A3" s="4" t="inlineStr">
        <is>
          <t>T-02</t>
        </is>
      </c>
      <c r="B3" s="4" t="inlineStr">
        <is>
          <t>Unauthorized PLC logic modification</t>
        </is>
      </c>
      <c r="C3" s="4" t="inlineStr">
        <is>
          <t>T</t>
        </is>
      </c>
      <c r="D3" s="4" t="inlineStr">
        <is>
          <t>Tampering</t>
        </is>
      </c>
      <c r="E3" s="4" t="inlineStr">
        <is>
          <t>A-11, A-14, A-15, A-16</t>
        </is>
      </c>
      <c r="F3" s="4" t="inlineStr">
        <is>
          <t>DF-03</t>
        </is>
      </c>
      <c r="G3" s="4" t="inlineStr">
        <is>
          <t>Any host that reaches a PLC on its engineering port can download modified logic, because PLCs are in REMOTE mode and the protocol has no authentication.</t>
        </is>
      </c>
      <c r="H3" s="4" t="inlineStr">
        <is>
          <t>TA-1, TA-3, TA-4</t>
        </is>
      </c>
      <c r="I3" s="4" t="inlineStr">
        <is>
          <t>Compromised EWS or any OT host -&gt; engineering protocol -&gt; PLC</t>
        </is>
      </c>
      <c r="J3" s="4" t="inlineStr">
        <is>
          <t>Vendor engineering software requires a project password (offline only)</t>
        </is>
      </c>
      <c r="K3" s="4" t="n">
        <v>3</v>
      </c>
      <c r="L3" s="4" t="n">
        <v>5</v>
      </c>
      <c r="M3" s="4">
        <f>K3*L3</f>
        <v/>
      </c>
      <c r="N3" s="4">
        <f>IF(M3&gt;=17,"Critical",IF(M3&gt;=10,"High",IF(M3&gt;=5,"Medium","Low")))</f>
        <v/>
      </c>
      <c r="O3" s="4" t="inlineStr">
        <is>
          <t>SC-07 PLC change management &amp; integrity; SC-03 Control-zone conduit and switch hardening; SC-10 OT network monitoring (passive IDS)</t>
        </is>
      </c>
      <c r="P3" s="4" t="n">
        <v>1</v>
      </c>
      <c r="Q3" s="4" t="n">
        <v>5</v>
      </c>
      <c r="R3" s="4">
        <f>P3*Q3</f>
        <v/>
      </c>
      <c r="S3" s="4">
        <f>IF(R3&gt;=17,"Critical",IF(R3&gt;=10,"High",IF(R3&gt;=5,"Medium","Low")))</f>
        <v/>
      </c>
      <c r="T3" s="4" t="inlineStr">
        <is>
          <t>AS-01, AS-03</t>
        </is>
      </c>
    </row>
    <row r="4">
      <c r="A4" s="4" t="inlineStr">
        <is>
          <t>T-03</t>
        </is>
      </c>
      <c r="B4" s="4" t="inlineStr">
        <is>
          <t>Operator actions cannot be attributed</t>
        </is>
      </c>
      <c r="C4" s="4" t="inlineStr">
        <is>
          <t>R</t>
        </is>
      </c>
      <c r="D4" s="4" t="inlineStr">
        <is>
          <t>Repudiation</t>
        </is>
      </c>
      <c r="E4" s="4" t="inlineStr">
        <is>
          <t>A-10</t>
        </is>
      </c>
      <c r="F4" s="4" t="inlineStr">
        <is>
          <t>DF-01</t>
        </is>
      </c>
      <c r="G4" s="4" t="inlineStr">
        <is>
          <t>All operators share one HMI login; setpoint changes and alarm acknowledgements cannot be tied to an individual during incident or quality investigations.</t>
        </is>
      </c>
      <c r="H4" s="4" t="inlineStr">
        <is>
          <t>TA-4, TA-5</t>
        </is>
      </c>
      <c r="I4" s="4" t="inlineStr">
        <is>
          <t>Shared 'operator' account on HMI</t>
        </is>
      </c>
      <c r="J4" s="4" t="inlineStr">
        <is>
          <t>HMI event log stored locally, overwritten after 7 days</t>
        </is>
      </c>
      <c r="K4" s="4" t="n">
        <v>4</v>
      </c>
      <c r="L4" s="4" t="n">
        <v>3</v>
      </c>
      <c r="M4" s="4">
        <f>K4*L4</f>
        <v/>
      </c>
      <c r="N4" s="4">
        <f>IF(M4&gt;=17,"Critical",IF(M4&gt;=10,"High",IF(M4&gt;=5,"Medium","Low")))</f>
        <v/>
      </c>
      <c r="O4" s="4" t="inlineStr">
        <is>
          <t>SC-15 Application-level access control (HMI, OPC UA, historian); SC-09 Centralised security logging</t>
        </is>
      </c>
      <c r="P4" s="4" t="n">
        <v>2</v>
      </c>
      <c r="Q4" s="4" t="n">
        <v>3</v>
      </c>
      <c r="R4" s="4">
        <f>P4*Q4</f>
        <v/>
      </c>
      <c r="S4" s="4">
        <f>IF(R4&gt;=17,"Critical",IF(R4&gt;=10,"High",IF(R4&gt;=5,"Medium","Low")))</f>
        <v/>
      </c>
      <c r="T4" s="4" t="inlineStr"/>
    </row>
    <row r="5">
      <c r="A5" s="4" t="inlineStr">
        <is>
          <t>T-04</t>
        </is>
      </c>
      <c r="B5" s="4" t="inlineStr">
        <is>
          <t>Unauthorized access to production data</t>
        </is>
      </c>
      <c r="C5" s="4" t="inlineStr">
        <is>
          <t>I</t>
        </is>
      </c>
      <c r="D5" s="4" t="inlineStr">
        <is>
          <t>Information Disclosure</t>
        </is>
      </c>
      <c r="E5" s="4" t="inlineStr">
        <is>
          <t>A-07</t>
        </is>
      </c>
      <c r="F5" s="4" t="inlineStr">
        <is>
          <t>DF-08</t>
        </is>
      </c>
      <c r="G5" s="4" t="inlineStr">
        <is>
          <t>All 'Domain Users' can read the historian replica, exposing recipes, cycle times and OEM quality data to any compromised corporate account.</t>
        </is>
      </c>
      <c r="H5" s="4" t="inlineStr">
        <is>
          <t>TA-1, TA-4</t>
        </is>
      </c>
      <c r="I5" s="4" t="inlineStr">
        <is>
          <t>Corporate account -&gt; historian replica web/SQL</t>
        </is>
      </c>
      <c r="J5" s="4" t="inlineStr">
        <is>
          <t>Domain authentication only; no role-based restriction</t>
        </is>
      </c>
      <c r="K5" s="4" t="n">
        <v>3</v>
      </c>
      <c r="L5" s="4" t="n">
        <v>3</v>
      </c>
      <c r="M5" s="4">
        <f>K5*L5</f>
        <v/>
      </c>
      <c r="N5" s="4">
        <f>IF(M5&gt;=17,"Critical",IF(M5&gt;=10,"High",IF(M5&gt;=5,"Medium","Low")))</f>
        <v/>
      </c>
      <c r="O5" s="4" t="inlineStr">
        <is>
          <t>SC-15 Application-level access control (HMI, OPC UA, historian); SC-09 Centralised security logging</t>
        </is>
      </c>
      <c r="P5" s="4" t="n">
        <v>2</v>
      </c>
      <c r="Q5" s="4" t="n">
        <v>3</v>
      </c>
      <c r="R5" s="4">
        <f>P5*Q5</f>
        <v/>
      </c>
      <c r="S5" s="4">
        <f>IF(R5&gt;=17,"Critical",IF(R5&gt;=10,"High",IF(R5&gt;=5,"Medium","Low")))</f>
        <v/>
      </c>
      <c r="T5" s="4" t="inlineStr"/>
    </row>
    <row r="6">
      <c r="A6" s="4" t="inlineStr">
        <is>
          <t>T-05</t>
        </is>
      </c>
      <c r="B6" s="4" t="inlineStr">
        <is>
          <t>Network flooding disrupts PLC communications</t>
        </is>
      </c>
      <c r="C6" s="4" t="inlineStr">
        <is>
          <t>D</t>
        </is>
      </c>
      <c r="D6" s="4" t="inlineStr">
        <is>
          <t>Denial of Service</t>
        </is>
      </c>
      <c r="E6" s="4" t="inlineStr">
        <is>
          <t>A-14, A-15, A-16, A-23</t>
        </is>
      </c>
      <c r="F6" s="4" t="inlineStr">
        <is>
          <t>DF-02, DF-05</t>
        </is>
      </c>
      <c r="G6" s="4" t="inlineStr">
        <is>
          <t>Broadcast storms, aggressive scanning or worm traffic on the flat OT network exhaust PLC network stacks, causing communication time-outs and line stops.</t>
        </is>
      </c>
      <c r="H6" s="4" t="inlineStr">
        <is>
          <t>TA-1, TA-5</t>
        </is>
      </c>
      <c r="I6" s="4" t="inlineStr">
        <is>
          <t>Any device on OT/Control network -&gt; flood / scan</t>
        </is>
      </c>
      <c r="J6" s="4" t="inlineStr">
        <is>
          <t>None; no storm control, flat network</t>
        </is>
      </c>
      <c r="K6" s="4" t="n">
        <v>3</v>
      </c>
      <c r="L6" s="4" t="n">
        <v>4</v>
      </c>
      <c r="M6" s="4">
        <f>K6*L6</f>
        <v/>
      </c>
      <c r="N6" s="4">
        <f>IF(M6&gt;=17,"Critical",IF(M6&gt;=10,"High",IF(M6&gt;=5,"Medium","Low")))</f>
        <v/>
      </c>
      <c r="O6" s="4" t="inlineStr">
        <is>
          <t>SC-03 Control-zone conduit and switch hardening; SC-17 Network resilience for control traffic; SC-10 OT network monitoring (passive IDS)</t>
        </is>
      </c>
      <c r="P6" s="4" t="n">
        <v>2</v>
      </c>
      <c r="Q6" s="4" t="n">
        <v>4</v>
      </c>
      <c r="R6" s="4">
        <f>P6*Q6</f>
        <v/>
      </c>
      <c r="S6" s="4">
        <f>IF(R6&gt;=17,"Critical",IF(R6&gt;=10,"High",IF(R6&gt;=5,"Medium","Low")))</f>
        <v/>
      </c>
      <c r="T6" s="4" t="inlineStr">
        <is>
          <t>AS-04</t>
        </is>
      </c>
    </row>
    <row r="7">
      <c r="A7" s="4" t="inlineStr">
        <is>
          <t>T-06</t>
        </is>
      </c>
      <c r="B7" s="4" t="inlineStr">
        <is>
          <t>Malware gains admin rights on engineering workstation</t>
        </is>
      </c>
      <c r="C7" s="4" t="inlineStr">
        <is>
          <t>E</t>
        </is>
      </c>
      <c r="D7" s="4" t="inlineStr">
        <is>
          <t>Elevation of Privilege</t>
        </is>
      </c>
      <c r="E7" s="4" t="inlineStr">
        <is>
          <t>A-11</t>
        </is>
      </c>
      <c r="F7" s="4" t="inlineStr">
        <is>
          <t>DF-03, DF-11</t>
        </is>
      </c>
      <c r="G7" s="4" t="inlineStr">
        <is>
          <t>Engineers are local administrators on an unpatched Windows EWS; malware arriving via RDP session, USB or TeamViewer obtains full control of the PLC programming environment.</t>
        </is>
      </c>
      <c r="H7" s="4" t="inlineStr">
        <is>
          <t>TA-1, TA-3</t>
        </is>
      </c>
      <c r="I7" s="4" t="inlineStr">
        <is>
          <t>RDP / USB / TeamViewer -&gt; EWS local admin -&gt; PLC tooling</t>
        </is>
      </c>
      <c r="J7" s="4" t="inlineStr">
        <is>
          <t>Signature AV with outdated definitions</t>
        </is>
      </c>
      <c r="K7" s="4" t="n">
        <v>3</v>
      </c>
      <c r="L7" s="4" t="n">
        <v>5</v>
      </c>
      <c r="M7" s="4">
        <f>K7*L7</f>
        <v/>
      </c>
      <c r="N7" s="4">
        <f>IF(M7&gt;=17,"Critical",IF(M7&gt;=10,"High",IF(M7&gt;=5,"Medium","Low")))</f>
        <v/>
      </c>
      <c r="O7" s="4" t="inlineStr">
        <is>
          <t>SC-06 Engineering workstation &amp; HMI hardening; SC-04 Privileged access management &amp; least privilege; SC-13 OT asset inventory &amp; vulnerability management</t>
        </is>
      </c>
      <c r="P7" s="4" t="n">
        <v>2</v>
      </c>
      <c r="Q7" s="4" t="n">
        <v>5</v>
      </c>
      <c r="R7" s="4">
        <f>P7*Q7</f>
        <v/>
      </c>
      <c r="S7" s="4">
        <f>IF(R7&gt;=17,"Critical",IF(R7&gt;=10,"High",IF(R7&gt;=5,"Medium","Low")))</f>
        <v/>
      </c>
      <c r="T7" s="4" t="inlineStr">
        <is>
          <t>AS-01, AS-03</t>
        </is>
      </c>
    </row>
    <row r="8">
      <c r="A8" s="4" t="inlineStr">
        <is>
          <t>T-07</t>
        </is>
      </c>
      <c r="B8" s="4" t="inlineStr">
        <is>
          <t>Jump server used as pivot into OT</t>
        </is>
      </c>
      <c r="C8" s="4" t="inlineStr">
        <is>
          <t>E</t>
        </is>
      </c>
      <c r="D8" s="4" t="inlineStr">
        <is>
          <t>Elevation of Privilege</t>
        </is>
      </c>
      <c r="E8" s="4" t="inlineStr">
        <is>
          <t>A-08</t>
        </is>
      </c>
      <c r="F8" s="4" t="inlineStr">
        <is>
          <t>DF-10, DF-11, DF-12</t>
        </is>
      </c>
      <c r="G8" s="4" t="inlineStr">
        <is>
          <t>The jump server is joined to the corporate domain and accepts RDP from the IT admin subnet; compromised IT admin credentials give an attacker a direct route into OT.</t>
        </is>
      </c>
      <c r="H8" s="4" t="inlineStr">
        <is>
          <t>TA-1, TA-3</t>
        </is>
      </c>
      <c r="I8" s="4" t="inlineStr">
        <is>
          <t>Corporate admin credentials -&gt; jump server -&gt; EWS / SCADA</t>
        </is>
      </c>
      <c r="J8" s="4" t="inlineStr">
        <is>
          <t>Single-factor RDP; no session recording</t>
        </is>
      </c>
      <c r="K8" s="4" t="n">
        <v>3</v>
      </c>
      <c r="L8" s="4" t="n">
        <v>5</v>
      </c>
      <c r="M8" s="4">
        <f>K8*L8</f>
        <v/>
      </c>
      <c r="N8" s="4">
        <f>IF(M8&gt;=17,"Critical",IF(M8&gt;=10,"High",IF(M8&gt;=5,"Medium","Low")))</f>
        <v/>
      </c>
      <c r="O8" s="4" t="inlineStr">
        <is>
          <t>SC-05 Hardened jump server; SC-02 IT/OT segmentation via the IDMZ; SC-04 Privileged access management &amp; least privilege</t>
        </is>
      </c>
      <c r="P8" s="4" t="n">
        <v>1</v>
      </c>
      <c r="Q8" s="4" t="n">
        <v>5</v>
      </c>
      <c r="R8" s="4">
        <f>P8*Q8</f>
        <v/>
      </c>
      <c r="S8" s="4">
        <f>IF(R8&gt;=17,"Critical",IF(R8&gt;=10,"High",IF(R8&gt;=5,"Medium","Low")))</f>
        <v/>
      </c>
      <c r="T8" s="4" t="inlineStr">
        <is>
          <t>AS-02</t>
        </is>
      </c>
    </row>
    <row r="9">
      <c r="A9" s="4" t="inlineStr">
        <is>
          <t>T-08</t>
        </is>
      </c>
      <c r="B9" s="4" t="inlineStr">
        <is>
          <t>Corporate AD compromise grants OT access</t>
        </is>
      </c>
      <c r="C9" s="4" t="inlineStr">
        <is>
          <t>S</t>
        </is>
      </c>
      <c r="D9" s="4" t="inlineStr">
        <is>
          <t>Spoofing</t>
        </is>
      </c>
      <c r="E9" s="4" t="inlineStr">
        <is>
          <t>A-03, A-10, A-11, A-12</t>
        </is>
      </c>
      <c r="F9" s="4" t="inlineStr">
        <is>
          <t>DF-13</t>
        </is>
      </c>
      <c r="G9" s="4" t="inlineStr">
        <is>
          <t>OT servers and workstations are joined to apex.local. Stolen or forged domain credentials (pass-the-hash, Kerberoasting, golden ticket) authenticate to every OT Windows host.</t>
        </is>
      </c>
      <c r="H9" s="4" t="inlineStr">
        <is>
          <t>TA-1, TA-3</t>
        </is>
      </c>
      <c r="I9" s="4" t="inlineStr">
        <is>
          <t>Phished user -&gt; AD privilege escalation -&gt; Kerberos/SMB to OT hosts</t>
        </is>
      </c>
      <c r="J9" s="4" t="inlineStr">
        <is>
          <t>14 Domain Admin accounts incl. 3 service accounts; no tiering</t>
        </is>
      </c>
      <c r="K9" s="4" t="n">
        <v>4</v>
      </c>
      <c r="L9" s="4" t="n">
        <v>5</v>
      </c>
      <c r="M9" s="4">
        <f>K9*L9</f>
        <v/>
      </c>
      <c r="N9" s="4">
        <f>IF(M9&gt;=17,"Critical",IF(M9&gt;=10,"High",IF(M9&gt;=5,"Medium","Low")))</f>
        <v/>
      </c>
      <c r="O9" s="4" t="inlineStr">
        <is>
          <t>SC-02 IT/OT segmentation via the IDMZ; SC-04 Privileged access management &amp; least privilege</t>
        </is>
      </c>
      <c r="P9" s="4" t="n">
        <v>1</v>
      </c>
      <c r="Q9" s="4" t="n">
        <v>5</v>
      </c>
      <c r="R9" s="4">
        <f>P9*Q9</f>
        <v/>
      </c>
      <c r="S9" s="4">
        <f>IF(R9&gt;=17,"Critical",IF(R9&gt;=10,"High",IF(R9&gt;=5,"Medium","Low")))</f>
        <v/>
      </c>
      <c r="T9" s="4" t="inlineStr">
        <is>
          <t>AS-02, AS-05</t>
        </is>
      </c>
    </row>
    <row r="10">
      <c r="A10" s="4" t="inlineStr">
        <is>
          <t>T-09</t>
        </is>
      </c>
      <c r="B10" s="4" t="inlineStr">
        <is>
          <t>Phishing email establishes enterprise foothold</t>
        </is>
      </c>
      <c r="C10" s="4" t="inlineStr">
        <is>
          <t>S</t>
        </is>
      </c>
      <c r="D10" s="4" t="inlineStr">
        <is>
          <t>Spoofing</t>
        </is>
      </c>
      <c r="E10" s="4" t="inlineStr">
        <is>
          <t>A-02, A-05</t>
        </is>
      </c>
      <c r="F10" s="4" t="inlineStr">
        <is>
          <t>DF-18</t>
        </is>
      </c>
      <c r="G10" s="4" t="inlineStr">
        <is>
          <t>A spoofed supplier or OEM email delivers a malicious attachment or credential-harvesting link to an office user.</t>
        </is>
      </c>
      <c r="H10" s="4" t="inlineStr">
        <is>
          <t>TA-1, TA-2</t>
        </is>
      </c>
      <c r="I10" s="4" t="inlineStr">
        <is>
          <t>Email -&gt; user execution -&gt; workstation</t>
        </is>
      </c>
      <c r="J10" s="4" t="inlineStr">
        <is>
          <t>Cloud email filtering; annual awareness training</t>
        </is>
      </c>
      <c r="K10" s="4" t="n">
        <v>5</v>
      </c>
      <c r="L10" s="4" t="n">
        <v>3</v>
      </c>
      <c r="M10" s="4">
        <f>K10*L10</f>
        <v/>
      </c>
      <c r="N10" s="4">
        <f>IF(M10&gt;=17,"Critical",IF(M10&gt;=10,"High",IF(M10&gt;=5,"Medium","Low")))</f>
        <v/>
      </c>
      <c r="O10" s="4" t="inlineStr">
        <is>
          <t>SC-12 Enterprise phishing &amp; endpoint defence</t>
        </is>
      </c>
      <c r="P10" s="4" t="n">
        <v>3</v>
      </c>
      <c r="Q10" s="4" t="n">
        <v>3</v>
      </c>
      <c r="R10" s="4">
        <f>P10*Q10</f>
        <v/>
      </c>
      <c r="S10" s="4">
        <f>IF(R10&gt;=17,"Critical",IF(R10&gt;=10,"High",IF(R10&gt;=5,"Medium","Low")))</f>
        <v/>
      </c>
      <c r="T10" s="4" t="inlineStr">
        <is>
          <t>AS-02, AS-05</t>
        </is>
      </c>
    </row>
    <row r="11">
      <c r="A11" s="4" t="inlineStr">
        <is>
          <t>T-10</t>
        </is>
      </c>
      <c r="B11" s="4" t="inlineStr">
        <is>
          <t>Permissive IT/OT firewall rules bypass IDMZ</t>
        </is>
      </c>
      <c r="C11" s="4" t="inlineStr">
        <is>
          <t>E</t>
        </is>
      </c>
      <c r="D11" s="4" t="inlineStr">
        <is>
          <t>Elevation of Privilege</t>
        </is>
      </c>
      <c r="E11" s="4" t="inlineStr">
        <is>
          <t>A-06</t>
        </is>
      </c>
      <c r="F11" s="4" t="inlineStr">
        <is>
          <t>DF-12, DF-13</t>
        </is>
      </c>
      <c r="G11" s="4" t="inlineStr">
        <is>
          <t>A 'temporary' any-any rule and direct RDP/SMB from the IT admin subnet let an attacker on the corporate LAN reach OT hosts without passing through the IDMZ.</t>
        </is>
      </c>
      <c r="H11" s="4" t="inlineStr">
        <is>
          <t>TA-1, TA-3</t>
        </is>
      </c>
      <c r="I11" s="4" t="inlineStr">
        <is>
          <t>Corporate LAN -&gt; IT/OT firewall -&gt; OT hosts</t>
        </is>
      </c>
      <c r="J11" s="4" t="inlineStr">
        <is>
          <t>Firewall exists but rule base not reviewed since 2023</t>
        </is>
      </c>
      <c r="K11" s="4" t="n">
        <v>4</v>
      </c>
      <c r="L11" s="4" t="n">
        <v>5</v>
      </c>
      <c r="M11" s="4">
        <f>K11*L11</f>
        <v/>
      </c>
      <c r="N11" s="4">
        <f>IF(M11&gt;=17,"Critical",IF(M11&gt;=10,"High",IF(M11&gt;=5,"Medium","Low")))</f>
        <v/>
      </c>
      <c r="O11" s="4" t="inlineStr">
        <is>
          <t>SC-02 IT/OT segmentation via the IDMZ</t>
        </is>
      </c>
      <c r="P11" s="4" t="n">
        <v>1</v>
      </c>
      <c r="Q11" s="4" t="n">
        <v>5</v>
      </c>
      <c r="R11" s="4">
        <f>P11*Q11</f>
        <v/>
      </c>
      <c r="S11" s="4">
        <f>IF(R11&gt;=17,"Critical",IF(R11&gt;=10,"High",IF(R11&gt;=5,"Medium","Low")))</f>
        <v/>
      </c>
      <c r="T11" s="4" t="inlineStr">
        <is>
          <t>AS-02, AS-05</t>
        </is>
      </c>
    </row>
    <row r="12">
      <c r="A12" s="4" t="inlineStr">
        <is>
          <t>T-11</t>
        </is>
      </c>
      <c r="B12" s="4" t="inlineStr">
        <is>
          <t>IIoT gateway LTE link bypasses IDMZ</t>
        </is>
      </c>
      <c r="C12" s="4" t="inlineStr">
        <is>
          <t>E</t>
        </is>
      </c>
      <c r="D12" s="4" t="inlineStr">
        <is>
          <t>Elevation of Privilege</t>
        </is>
      </c>
      <c r="E12" s="4" t="inlineStr">
        <is>
          <t>A-19</t>
        </is>
      </c>
      <c r="F12" s="4" t="inlineStr">
        <is>
          <t>DF-14, DF-16</t>
        </is>
      </c>
      <c r="G12" s="4" t="inlineStr">
        <is>
          <t>The dual-homed IIoT gateway exposes a web admin interface with default credentials over its LTE link; compromise gives an Internet-to-OT path outside every Apex control.</t>
        </is>
      </c>
      <c r="H12" s="4" t="inlineStr">
        <is>
          <t>TA-7, TA-1</t>
        </is>
      </c>
      <c r="I12" s="4" t="inlineStr">
        <is>
          <t>Internet -&gt; LTE router -&gt; gateway web admin -&gt; OT network</t>
        </is>
      </c>
      <c r="J12" s="4" t="inlineStr">
        <is>
          <t>None owned by Apex; router managed by IIoT supplier</t>
        </is>
      </c>
      <c r="K12" s="4" t="n">
        <v>3</v>
      </c>
      <c r="L12" s="4" t="n">
        <v>5</v>
      </c>
      <c r="M12" s="4">
        <f>K12*L12</f>
        <v/>
      </c>
      <c r="N12" s="4">
        <f>IF(M12&gt;=17,"Critical",IF(M12&gt;=10,"High",IF(M12&gt;=5,"Medium","Low")))</f>
        <v/>
      </c>
      <c r="O12" s="4" t="inlineStr">
        <is>
          <t>SC-11 IIoT gateway security architecture; SC-13 OT asset inventory &amp; vulnerability management</t>
        </is>
      </c>
      <c r="P12" s="4" t="n">
        <v>1</v>
      </c>
      <c r="Q12" s="4" t="n">
        <v>5</v>
      </c>
      <c r="R12" s="4">
        <f>P12*Q12</f>
        <v/>
      </c>
      <c r="S12" s="4">
        <f>IF(R12&gt;=17,"Critical",IF(R12&gt;=10,"High",IF(R12&gt;=5,"Medium","Low")))</f>
        <v/>
      </c>
      <c r="T12" s="4" t="inlineStr">
        <is>
          <t>AS-04</t>
        </is>
      </c>
    </row>
    <row r="13">
      <c r="A13" s="4" t="inlineStr">
        <is>
          <t>T-12</t>
        </is>
      </c>
      <c r="B13" s="4" t="inlineStr">
        <is>
          <t>Production data exposed via cloud platform</t>
        </is>
      </c>
      <c r="C13" s="4" t="inlineStr">
        <is>
          <t>I</t>
        </is>
      </c>
      <c r="D13" s="4" t="inlineStr">
        <is>
          <t>Information Disclosure</t>
        </is>
      </c>
      <c r="E13" s="4" t="inlineStr">
        <is>
          <t>A-21</t>
        </is>
      </c>
      <c r="F13" s="4" t="inlineStr">
        <is>
          <t>DF-16</t>
        </is>
      </c>
      <c r="G13" s="4" t="inlineStr">
        <is>
          <t>Cloud tenant misconfiguration or a compromised (single-factor) cloud console account exposes machine and production data to unauthorized parties.</t>
        </is>
      </c>
      <c r="H13" s="4" t="inlineStr">
        <is>
          <t>TA-1, TA-6</t>
        </is>
      </c>
      <c r="I13" s="4" t="inlineStr">
        <is>
          <t>Cloud console credentials / misconfiguration -&gt; tenant data</t>
        </is>
      </c>
      <c r="J13" s="4" t="inlineStr">
        <is>
          <t>Provider-managed platform; console login password-only</t>
        </is>
      </c>
      <c r="K13" s="4" t="n">
        <v>3</v>
      </c>
      <c r="L13" s="4" t="n">
        <v>3</v>
      </c>
      <c r="M13" s="4">
        <f>K13*L13</f>
        <v/>
      </c>
      <c r="N13" s="4">
        <f>IF(M13&gt;=17,"Critical",IF(M13&gt;=10,"High",IF(M13&gt;=5,"Medium","Low")))</f>
        <v/>
      </c>
      <c r="O13" s="4" t="inlineStr">
        <is>
          <t>SC-16 Supplier security requirements; SC-04 Privileged access management &amp; least privilege; SC-11 IIoT gateway security architecture</t>
        </is>
      </c>
      <c r="P13" s="4" t="n">
        <v>2</v>
      </c>
      <c r="Q13" s="4" t="n">
        <v>3</v>
      </c>
      <c r="R13" s="4">
        <f>P13*Q13</f>
        <v/>
      </c>
      <c r="S13" s="4">
        <f>IF(R13&gt;=17,"Critical",IF(R13&gt;=10,"High",IF(R13&gt;=5,"Medium","Low")))</f>
        <v/>
      </c>
      <c r="T13" s="4" t="inlineStr"/>
    </row>
    <row r="14">
      <c r="A14" s="4" t="inlineStr">
        <is>
          <t>T-13</t>
        </is>
      </c>
      <c r="B14" s="4" t="inlineStr">
        <is>
          <t>Malicious firmware/config pushed from cloud</t>
        </is>
      </c>
      <c r="C14" s="4" t="inlineStr">
        <is>
          <t>T</t>
        </is>
      </c>
      <c r="D14" s="4" t="inlineStr">
        <is>
          <t>Tampering</t>
        </is>
      </c>
      <c r="E14" s="4" t="inlineStr">
        <is>
          <t>A-19, A-21</t>
        </is>
      </c>
      <c r="F14" s="4" t="inlineStr">
        <is>
          <t>DF-17</t>
        </is>
      </c>
      <c r="G14" s="4" t="inlineStr">
        <is>
          <t>A compromised cloud management plane pushes malicious firmware or configuration to the gateway, turning it into an attacker-controlled device inside OT.</t>
        </is>
      </c>
      <c r="H14" s="4" t="inlineStr">
        <is>
          <t>TA-6, TA-3</t>
        </is>
      </c>
      <c r="I14" s="4" t="inlineStr">
        <is>
          <t>Supplier compromise -&gt; device management -&gt; gateway -&gt; OT</t>
        </is>
      </c>
      <c r="J14" s="4" t="inlineStr">
        <is>
          <t>Firmware signing status unknown</t>
        </is>
      </c>
      <c r="K14" s="4" t="n">
        <v>2</v>
      </c>
      <c r="L14" s="4" t="n">
        <v>5</v>
      </c>
      <c r="M14" s="4">
        <f>K14*L14</f>
        <v/>
      </c>
      <c r="N14" s="4">
        <f>IF(M14&gt;=17,"Critical",IF(M14&gt;=10,"High",IF(M14&gt;=5,"Medium","Low")))</f>
        <v/>
      </c>
      <c r="O14" s="4" t="inlineStr">
        <is>
          <t>SC-11 IIoT gateway security architecture; SC-16 Supplier security requirements</t>
        </is>
      </c>
      <c r="P14" s="4" t="n">
        <v>1</v>
      </c>
      <c r="Q14" s="4" t="n">
        <v>3</v>
      </c>
      <c r="R14" s="4">
        <f>P14*Q14</f>
        <v/>
      </c>
      <c r="S14" s="4">
        <f>IF(R14&gt;=17,"Critical",IF(R14&gt;=10,"High",IF(R14&gt;=5,"Medium","Low")))</f>
        <v/>
      </c>
      <c r="T14" s="4" t="inlineStr">
        <is>
          <t>AS-04</t>
        </is>
      </c>
    </row>
    <row r="15">
      <c r="A15" s="4" t="inlineStr">
        <is>
          <t>T-14</t>
        </is>
      </c>
      <c r="B15" s="4" t="inlineStr">
        <is>
          <t>Spoofed wireless sensor readings</t>
        </is>
      </c>
      <c r="C15" s="4" t="inlineStr">
        <is>
          <t>S</t>
        </is>
      </c>
      <c r="D15" s="4" t="inlineStr">
        <is>
          <t>Spoofing</t>
        </is>
      </c>
      <c r="E15" s="4" t="inlineStr">
        <is>
          <t>A-20, A-19</t>
        </is>
      </c>
      <c r="F15" s="4" t="inlineStr">
        <is>
          <t>DF-15</t>
        </is>
      </c>
      <c r="G15" s="4" t="inlineStr">
        <is>
          <t>A rogue transmitter near the plant injects false vibration readings, triggering unnecessary maintenance or masking a real bearing failure.</t>
        </is>
      </c>
      <c r="H15" s="4" t="inlineStr">
        <is>
          <t>TA-7, TA-4</t>
        </is>
      </c>
      <c r="I15" s="4" t="inlineStr">
        <is>
          <t>Physical proximity -&gt; 2.4 GHz -&gt; gateway</t>
        </is>
      </c>
      <c r="J15" s="4" t="inlineStr">
        <is>
          <t>Proprietary pairing; analytics are advisory only</t>
        </is>
      </c>
      <c r="K15" s="4" t="n">
        <v>2</v>
      </c>
      <c r="L15" s="4" t="n">
        <v>2</v>
      </c>
      <c r="M15" s="4">
        <f>K15*L15</f>
        <v/>
      </c>
      <c r="N15" s="4">
        <f>IF(M15&gt;=17,"Critical",IF(M15&gt;=10,"High",IF(M15&gt;=5,"Medium","Low")))</f>
        <v/>
      </c>
      <c r="O15" s="4" t="inlineStr">
        <is>
          <t>SC-11 IIoT gateway security architecture</t>
        </is>
      </c>
      <c r="P15" s="4" t="n">
        <v>1</v>
      </c>
      <c r="Q15" s="4" t="n">
        <v>2</v>
      </c>
      <c r="R15" s="4">
        <f>P15*Q15</f>
        <v/>
      </c>
      <c r="S15" s="4">
        <f>IF(R15&gt;=17,"Critical",IF(R15&gt;=10,"High",IF(R15&gt;=5,"Medium","Low")))</f>
        <v/>
      </c>
      <c r="T15" s="4" t="inlineStr"/>
    </row>
    <row r="16">
      <c r="A16" s="4" t="inlineStr">
        <is>
          <t>T-15</t>
        </is>
      </c>
      <c r="B16" s="4" t="inlineStr">
        <is>
          <t>Unauthenticated Modbus write commands</t>
        </is>
      </c>
      <c r="C16" s="4" t="inlineStr">
        <is>
          <t>T</t>
        </is>
      </c>
      <c r="D16" s="4" t="inlineStr">
        <is>
          <t>Tampering</t>
        </is>
      </c>
      <c r="E16" s="4" t="inlineStr">
        <is>
          <t>A-10, A-14, A-15, A-16</t>
        </is>
      </c>
      <c r="F16" s="4" t="inlineStr">
        <is>
          <t>DF-02</t>
        </is>
      </c>
      <c r="G16" s="4" t="inlineStr">
        <is>
          <t>Modbus/TCP has no authentication; any OT host can write coils and holding registers (start/stop, conveyor speed, robot program select).</t>
        </is>
      </c>
      <c r="H16" s="4" t="inlineStr">
        <is>
          <t>TA-1, TA-3, TA-4</t>
        </is>
      </c>
      <c r="I16" s="4" t="inlineStr">
        <is>
          <t>Any OT host -&gt; Modbus/TCP 502 -&gt; PLC</t>
        </is>
      </c>
      <c r="J16" s="4" t="inlineStr">
        <is>
          <t>None</t>
        </is>
      </c>
      <c r="K16" s="4" t="n">
        <v>3</v>
      </c>
      <c r="L16" s="4" t="n">
        <v>5</v>
      </c>
      <c r="M16" s="4">
        <f>K16*L16</f>
        <v/>
      </c>
      <c r="N16" s="4">
        <f>IF(M16&gt;=17,"Critical",IF(M16&gt;=10,"High",IF(M16&gt;=5,"Medium","Low")))</f>
        <v/>
      </c>
      <c r="O16" s="4" t="inlineStr">
        <is>
          <t>SC-03 Control-zone conduit and switch hardening; SC-10 OT network monitoring (passive IDS)</t>
        </is>
      </c>
      <c r="P16" s="4" t="n">
        <v>1</v>
      </c>
      <c r="Q16" s="4" t="n">
        <v>5</v>
      </c>
      <c r="R16" s="4">
        <f>P16*Q16</f>
        <v/>
      </c>
      <c r="S16" s="4">
        <f>IF(R16&gt;=17,"Critical",IF(R16&gt;=10,"High",IF(R16&gt;=5,"Medium","Low")))</f>
        <v/>
      </c>
      <c r="T16" s="4" t="inlineStr">
        <is>
          <t>AS-02, AS-04</t>
        </is>
      </c>
    </row>
    <row r="17">
      <c r="A17" s="4" t="inlineStr">
        <is>
          <t>T-16</t>
        </is>
      </c>
      <c r="B17" s="4" t="inlineStr">
        <is>
          <t>Sniffing of cleartext control traffic</t>
        </is>
      </c>
      <c r="C17" s="4" t="inlineStr">
        <is>
          <t>I</t>
        </is>
      </c>
      <c r="D17" s="4" t="inlineStr">
        <is>
          <t>Information Disclosure</t>
        </is>
      </c>
      <c r="E17" s="4" t="inlineStr">
        <is>
          <t>A-23</t>
        </is>
      </c>
      <c r="F17" s="4" t="inlineStr">
        <is>
          <t>DF-02, DF-03, DF-05</t>
        </is>
      </c>
      <c r="G17" s="4" t="inlineStr">
        <is>
          <t>Cleartext Modbus and engineering traffic reveal tag maps, logic and process behaviour, giving an attacker the reconnaissance needed for targeted manipulation.</t>
        </is>
      </c>
      <c r="H17" s="4" t="inlineStr">
        <is>
          <t>TA-3</t>
        </is>
      </c>
      <c r="I17" s="4" t="inlineStr">
        <is>
          <t>Foothold on OT network -&gt; passive capture</t>
        </is>
      </c>
      <c r="J17" s="4" t="inlineStr">
        <is>
          <t>None</t>
        </is>
      </c>
      <c r="K17" s="4" t="n">
        <v>3</v>
      </c>
      <c r="L17" s="4" t="n">
        <v>2</v>
      </c>
      <c r="M17" s="4">
        <f>K17*L17</f>
        <v/>
      </c>
      <c r="N17" s="4">
        <f>IF(M17&gt;=17,"Critical",IF(M17&gt;=10,"High",IF(M17&gt;=5,"Medium","Low")))</f>
        <v/>
      </c>
      <c r="O17" s="4" t="inlineStr">
        <is>
          <t>SC-03 Control-zone conduit and switch hardening; SC-10 OT network monitoring (passive IDS)</t>
        </is>
      </c>
      <c r="P17" s="4" t="n">
        <v>2</v>
      </c>
      <c r="Q17" s="4" t="n">
        <v>2</v>
      </c>
      <c r="R17" s="4">
        <f>P17*Q17</f>
        <v/>
      </c>
      <c r="S17" s="4">
        <f>IF(R17&gt;=17,"Critical",IF(R17&gt;=10,"High",IF(R17&gt;=5,"Medium","Low")))</f>
        <v/>
      </c>
      <c r="T17" s="4" t="inlineStr">
        <is>
          <t>AS-02, AS-04</t>
        </is>
      </c>
    </row>
    <row r="18">
      <c r="A18" s="4" t="inlineStr">
        <is>
          <t>T-17</t>
        </is>
      </c>
      <c r="B18" s="4" t="inlineStr">
        <is>
          <t>Ransomware encrypts SCADA/HMI</t>
        </is>
      </c>
      <c r="C18" s="4" t="inlineStr">
        <is>
          <t>D</t>
        </is>
      </c>
      <c r="D18" s="4" t="inlineStr">
        <is>
          <t>Denial of Service</t>
        </is>
      </c>
      <c r="E18" s="4" t="inlineStr">
        <is>
          <t>A-10, A-04</t>
        </is>
      </c>
      <c r="F18" s="4" t="inlineStr">
        <is>
          <t>DF-01, DF-02</t>
        </is>
      </c>
      <c r="G18" s="4" t="inlineStr">
        <is>
          <t>Ransomware spreading from IT through domain trust and open SMB encrypts SCADA servers and HMIs; operators lose view and the plant stops production.</t>
        </is>
      </c>
      <c r="H18" s="4" t="inlineStr">
        <is>
          <t>TA-1</t>
        </is>
      </c>
      <c r="I18" s="4" t="inlineStr">
        <is>
          <t>Enterprise foothold -&gt; AD -&gt; SMB/RDP into OT -&gt; encryption</t>
        </is>
      </c>
      <c r="J18" s="4" t="inlineStr">
        <is>
          <t>AV on servers; no tested OT recovery plan</t>
        </is>
      </c>
      <c r="K18" s="4" t="n">
        <v>4</v>
      </c>
      <c r="L18" s="4" t="n">
        <v>5</v>
      </c>
      <c r="M18" s="4">
        <f>K18*L18</f>
        <v/>
      </c>
      <c r="N18" s="4">
        <f>IF(M18&gt;=17,"Critical",IF(M18&gt;=10,"High",IF(M18&gt;=5,"Medium","Low")))</f>
        <v/>
      </c>
      <c r="O18" s="4" t="inlineStr">
        <is>
          <t>SC-02 IT/OT segmentation via the IDMZ; SC-06 Engineering workstation &amp; HMI hardening; SC-08 OT backup &amp; recovery; SC-14 OT incident response &amp; manual operations</t>
        </is>
      </c>
      <c r="P18" s="4" t="n">
        <v>2</v>
      </c>
      <c r="Q18" s="4" t="n">
        <v>4</v>
      </c>
      <c r="R18" s="4">
        <f>P18*Q18</f>
        <v/>
      </c>
      <c r="S18" s="4">
        <f>IF(R18&gt;=17,"Critical",IF(R18&gt;=10,"High",IF(R18&gt;=5,"Medium","Low")))</f>
        <v/>
      </c>
      <c r="T18" s="4" t="inlineStr">
        <is>
          <t>AS-05</t>
        </is>
      </c>
    </row>
    <row r="19">
      <c r="A19" s="4" t="inlineStr">
        <is>
          <t>T-18</t>
        </is>
      </c>
      <c r="B19" s="4" t="inlineStr">
        <is>
          <t>Loss of historian quality records</t>
        </is>
      </c>
      <c r="C19" s="4" t="inlineStr">
        <is>
          <t>D</t>
        </is>
      </c>
      <c r="D19" s="4" t="inlineStr">
        <is>
          <t>Denial of Service</t>
        </is>
      </c>
      <c r="E19" s="4" t="inlineStr">
        <is>
          <t>A-12, A-07</t>
        </is>
      </c>
      <c r="F19" s="4" t="inlineStr">
        <is>
          <t>DF-06, DF-07</t>
        </is>
      </c>
      <c r="G19" s="4" t="inlineStr">
        <is>
          <t>Historian encryption or deletion destroys weld and torque records required for IATF 16949 traceability, breaching OEM contractual obligations.</t>
        </is>
      </c>
      <c r="H19" s="4" t="inlineStr">
        <is>
          <t>TA-1</t>
        </is>
      </c>
      <c r="I19" s="4" t="inlineStr">
        <is>
          <t>Ransomware / destructive malware -&gt; historian</t>
        </is>
      </c>
      <c r="J19" s="4" t="inlineStr">
        <is>
          <t>Nightly backup to a share on the same server</t>
        </is>
      </c>
      <c r="K19" s="4" t="n">
        <v>3</v>
      </c>
      <c r="L19" s="4" t="n">
        <v>4</v>
      </c>
      <c r="M19" s="4">
        <f>K19*L19</f>
        <v/>
      </c>
      <c r="N19" s="4">
        <f>IF(M19&gt;=17,"Critical",IF(M19&gt;=10,"High",IF(M19&gt;=5,"Medium","Low")))</f>
        <v/>
      </c>
      <c r="O19" s="4" t="inlineStr">
        <is>
          <t>SC-08 OT backup &amp; recovery; SC-02 IT/OT segmentation via the IDMZ</t>
        </is>
      </c>
      <c r="P19" s="4" t="n">
        <v>2</v>
      </c>
      <c r="Q19" s="4" t="n">
        <v>3</v>
      </c>
      <c r="R19" s="4">
        <f>P19*Q19</f>
        <v/>
      </c>
      <c r="S19" s="4">
        <f>IF(R19&gt;=17,"Critical",IF(R19&gt;=10,"High",IF(R19&gt;=5,"Medium","Low")))</f>
        <v/>
      </c>
      <c r="T19" s="4" t="inlineStr">
        <is>
          <t>AS-05</t>
        </is>
      </c>
    </row>
    <row r="20">
      <c r="A20" s="4" t="inlineStr">
        <is>
          <t>T-19</t>
        </is>
      </c>
      <c r="B20" s="4" t="inlineStr">
        <is>
          <t>Tampering with historian quality data</t>
        </is>
      </c>
      <c r="C20" s="4" t="inlineStr">
        <is>
          <t>T</t>
        </is>
      </c>
      <c r="D20" s="4" t="inlineStr">
        <is>
          <t>Tampering</t>
        </is>
      </c>
      <c r="E20" s="4" t="inlineStr">
        <is>
          <t>A-12</t>
        </is>
      </c>
      <c r="F20" s="4" t="inlineStr">
        <is>
          <t>DF-06</t>
        </is>
      </c>
      <c r="G20" s="4" t="inlineStr">
        <is>
          <t>An insider with historian admin rights alters recorded weld/torque values to hide out-of-tolerance parts.</t>
        </is>
      </c>
      <c r="H20" s="4" t="inlineStr">
        <is>
          <t>TA-4</t>
        </is>
      </c>
      <c r="I20" s="4" t="inlineStr">
        <is>
          <t>Historian admin account -&gt; direct DB edit</t>
        </is>
      </c>
      <c r="J20" s="4" t="inlineStr">
        <is>
          <t>Shared historian admin account</t>
        </is>
      </c>
      <c r="K20" s="4" t="n">
        <v>2</v>
      </c>
      <c r="L20" s="4" t="n">
        <v>4</v>
      </c>
      <c r="M20" s="4">
        <f>K20*L20</f>
        <v/>
      </c>
      <c r="N20" s="4">
        <f>IF(M20&gt;=17,"Critical",IF(M20&gt;=10,"High",IF(M20&gt;=5,"Medium","Low")))</f>
        <v/>
      </c>
      <c r="O20" s="4" t="inlineStr">
        <is>
          <t>SC-15 Application-level access control (HMI, OPC UA, historian); SC-09 Centralised security logging</t>
        </is>
      </c>
      <c r="P20" s="4" t="n">
        <v>1</v>
      </c>
      <c r="Q20" s="4" t="n">
        <v>4</v>
      </c>
      <c r="R20" s="4">
        <f>P20*Q20</f>
        <v/>
      </c>
      <c r="S20" s="4">
        <f>IF(R20&gt;=17,"Critical",IF(R20&gt;=10,"High",IF(R20&gt;=5,"Medium","Low")))</f>
        <v/>
      </c>
      <c r="T20" s="4" t="inlineStr"/>
    </row>
    <row r="21">
      <c r="A21" s="4" t="inlineStr">
        <is>
          <t>T-20</t>
        </is>
      </c>
      <c r="B21" s="4" t="inlineStr">
        <is>
          <t>Anonymous access to OPC UA server</t>
        </is>
      </c>
      <c r="C21" s="4" t="inlineStr">
        <is>
          <t>S</t>
        </is>
      </c>
      <c r="D21" s="4" t="inlineStr">
        <is>
          <t>Spoofing</t>
        </is>
      </c>
      <c r="E21" s="4" t="inlineStr">
        <is>
          <t>A-13</t>
        </is>
      </c>
      <c r="F21" s="4" t="inlineStr">
        <is>
          <t>DF-05, DF-06, DF-14</t>
        </is>
      </c>
      <c r="G21" s="4" t="inlineStr">
        <is>
          <t>OPC UA runs with SecurityMode None and anonymous login; any client can impersonate the historian or gateway, browse the address space and write to writable nodes.</t>
        </is>
      </c>
      <c r="H21" s="4" t="inlineStr">
        <is>
          <t>TA-1, TA-3</t>
        </is>
      </c>
      <c r="I21" s="4" t="inlineStr">
        <is>
          <t>Any OT host / IIoT gateway -&gt; OPC UA 4840</t>
        </is>
      </c>
      <c r="J21" s="4" t="inlineStr">
        <is>
          <t>None</t>
        </is>
      </c>
      <c r="K21" s="4" t="n">
        <v>3</v>
      </c>
      <c r="L21" s="4" t="n">
        <v>4</v>
      </c>
      <c r="M21" s="4">
        <f>K21*L21</f>
        <v/>
      </c>
      <c r="N21" s="4">
        <f>IF(M21&gt;=17,"Critical",IF(M21&gt;=10,"High",IF(M21&gt;=5,"Medium","Low")))</f>
        <v/>
      </c>
      <c r="O21" s="4" t="inlineStr">
        <is>
          <t>SC-15 Application-level access control (HMI, OPC UA, historian); SC-03 Control-zone conduit and switch hardening</t>
        </is>
      </c>
      <c r="P21" s="4" t="n">
        <v>1</v>
      </c>
      <c r="Q21" s="4" t="n">
        <v>4</v>
      </c>
      <c r="R21" s="4">
        <f>P21*Q21</f>
        <v/>
      </c>
      <c r="S21" s="4">
        <f>IF(R21&gt;=17,"Critical",IF(R21&gt;=10,"High",IF(R21&gt;=5,"Medium","Low")))</f>
        <v/>
      </c>
      <c r="T21" s="4" t="inlineStr">
        <is>
          <t>AS-04</t>
        </is>
      </c>
    </row>
    <row r="22">
      <c r="A22" s="4" t="inlineStr">
        <is>
          <t>T-21</t>
        </is>
      </c>
      <c r="B22" s="4" t="inlineStr">
        <is>
          <t>PLC stopped via mode change or firmware flaw</t>
        </is>
      </c>
      <c r="C22" s="4" t="inlineStr">
        <is>
          <t>D</t>
        </is>
      </c>
      <c r="D22" s="4" t="inlineStr">
        <is>
          <t>Denial of Service</t>
        </is>
      </c>
      <c r="E22" s="4" t="inlineStr">
        <is>
          <t>A-14, A-15, A-16</t>
        </is>
      </c>
      <c r="F22" s="4" t="inlineStr">
        <is>
          <t>DF-03</t>
        </is>
      </c>
      <c r="G22" s="4" t="inlineStr">
        <is>
          <t>An attacker issues a CPU STOP via the engineering protocol, or exploits a published denial-of-service flaw in outdated PLC firmware.</t>
        </is>
      </c>
      <c r="H22" s="4" t="inlineStr">
        <is>
          <t>TA-1, TA-3, TA-7</t>
        </is>
      </c>
      <c r="I22" s="4" t="inlineStr">
        <is>
          <t>OT foothold -&gt; engineering protocol -&gt; PLC</t>
        </is>
      </c>
      <c r="J22" s="4" t="inlineStr">
        <is>
          <t>Firmware not updated since commissioning (2019)</t>
        </is>
      </c>
      <c r="K22" s="4" t="n">
        <v>3</v>
      </c>
      <c r="L22" s="4" t="n">
        <v>4</v>
      </c>
      <c r="M22" s="4">
        <f>K22*L22</f>
        <v/>
      </c>
      <c r="N22" s="4">
        <f>IF(M22&gt;=17,"Critical",IF(M22&gt;=10,"High",IF(M22&gt;=5,"Medium","Low")))</f>
        <v/>
      </c>
      <c r="O22" s="4" t="inlineStr">
        <is>
          <t>SC-07 PLC change management &amp; integrity; SC-03 Control-zone conduit and switch hardening; SC-13 OT asset inventory &amp; vulnerability management</t>
        </is>
      </c>
      <c r="P22" s="4" t="n">
        <v>1</v>
      </c>
      <c r="Q22" s="4" t="n">
        <v>4</v>
      </c>
      <c r="R22" s="4">
        <f>P22*Q22</f>
        <v/>
      </c>
      <c r="S22" s="4">
        <f>IF(R22&gt;=17,"Critical",IF(R22&gt;=10,"High",IF(R22&gt;=5,"Medium","Low")))</f>
        <v/>
      </c>
      <c r="T22" s="4" t="inlineStr">
        <is>
          <t>AS-01</t>
        </is>
      </c>
    </row>
    <row r="23">
      <c r="A23" s="4" t="inlineStr">
        <is>
          <t>T-22</t>
        </is>
      </c>
      <c r="B23" s="4" t="inlineStr">
        <is>
          <t>Covert weld-parameter manipulation (quality escape)</t>
        </is>
      </c>
      <c r="C23" s="4" t="inlineStr">
        <is>
          <t>T</t>
        </is>
      </c>
      <c r="D23" s="4" t="inlineStr">
        <is>
          <t>Tampering</t>
        </is>
      </c>
      <c r="E23" s="4" t="inlineStr">
        <is>
          <t>A-15</t>
        </is>
      </c>
      <c r="F23" s="4" t="inlineStr">
        <is>
          <t>DF-03, DF-02</t>
        </is>
      </c>
      <c r="G23" s="4" t="inlineStr">
        <is>
          <t>Subtle changes to weld current or robot timing produce parts that pass visual inspection but fail in service, leading to customer recall and OEM contract loss.</t>
        </is>
      </c>
      <c r="H23" s="4" t="inlineStr">
        <is>
          <t>TA-3, TA-4</t>
        </is>
      </c>
      <c r="I23" s="4" t="inlineStr">
        <is>
          <t>EWS or Modbus access -&gt; PLC-02 parameters</t>
        </is>
      </c>
      <c r="J23" s="4" t="inlineStr">
        <is>
          <t>End-of-line sample testing (1 in 200)</t>
        </is>
      </c>
      <c r="K23" s="4" t="n">
        <v>2</v>
      </c>
      <c r="L23" s="4" t="n">
        <v>5</v>
      </c>
      <c r="M23" s="4">
        <f>K23*L23</f>
        <v/>
      </c>
      <c r="N23" s="4">
        <f>IF(M23&gt;=17,"Critical",IF(M23&gt;=10,"High",IF(M23&gt;=5,"Medium","Low")))</f>
        <v/>
      </c>
      <c r="O23" s="4" t="inlineStr">
        <is>
          <t>SC-07 PLC change management &amp; integrity; SC-03 Control-zone conduit and switch hardening; SC-10 OT network monitoring (passive IDS)</t>
        </is>
      </c>
      <c r="P23" s="4" t="n">
        <v>1</v>
      </c>
      <c r="Q23" s="4" t="n">
        <v>5</v>
      </c>
      <c r="R23" s="4">
        <f>P23*Q23</f>
        <v/>
      </c>
      <c r="S23" s="4">
        <f>IF(R23&gt;=17,"Critical",IF(R23&gt;=10,"High",IF(R23&gt;=5,"Medium","Low")))</f>
        <v/>
      </c>
      <c r="T23" s="4" t="inlineStr">
        <is>
          <t>AS-03</t>
        </is>
      </c>
    </row>
    <row r="24">
      <c r="A24" s="4" t="inlineStr">
        <is>
          <t>T-23</t>
        </is>
      </c>
      <c r="B24" s="4" t="inlineStr">
        <is>
          <t>PLC changes not logged or versioned</t>
        </is>
      </c>
      <c r="C24" s="4" t="inlineStr">
        <is>
          <t>R</t>
        </is>
      </c>
      <c r="D24" s="4" t="inlineStr">
        <is>
          <t>Repudiation</t>
        </is>
      </c>
      <c r="E24" s="4" t="inlineStr">
        <is>
          <t>A-11, A-14, A-15, A-16</t>
        </is>
      </c>
      <c r="F24" s="4" t="inlineStr">
        <is>
          <t>DF-03</t>
        </is>
      </c>
      <c r="G24" s="4" t="inlineStr">
        <is>
          <t>No version control or change log exists for PLC programs; it is impossible to tell whether a change was made by the vendor, an engineer or an attacker.</t>
        </is>
      </c>
      <c r="H24" s="4" t="inlineStr">
        <is>
          <t>TA-4, TA-5, TA-6</t>
        </is>
      </c>
      <c r="I24" s="4" t="inlineStr">
        <is>
          <t>Any engineering session</t>
        </is>
      </c>
      <c r="J24" s="4" t="inlineStr">
        <is>
          <t>Paper change request for major changes only</t>
        </is>
      </c>
      <c r="K24" s="4" t="n">
        <v>4</v>
      </c>
      <c r="L24" s="4" t="n">
        <v>3</v>
      </c>
      <c r="M24" s="4">
        <f>K24*L24</f>
        <v/>
      </c>
      <c r="N24" s="4">
        <f>IF(M24&gt;=17,"Critical",IF(M24&gt;=10,"High",IF(M24&gt;=5,"Medium","Low")))</f>
        <v/>
      </c>
      <c r="O24" s="4" t="inlineStr">
        <is>
          <t>SC-07 PLC change management &amp; integrity; SC-09 Centralised security logging</t>
        </is>
      </c>
      <c r="P24" s="4" t="n">
        <v>2</v>
      </c>
      <c r="Q24" s="4" t="n">
        <v>3</v>
      </c>
      <c r="R24" s="4">
        <f>P24*Q24</f>
        <v/>
      </c>
      <c r="S24" s="4">
        <f>IF(R24&gt;=17,"Critical",IF(R24&gt;=10,"High",IF(R24&gt;=5,"Medium","Low")))</f>
        <v/>
      </c>
      <c r="T24" s="4" t="inlineStr">
        <is>
          <t>AS-01, AS-03</t>
        </is>
      </c>
    </row>
    <row r="25">
      <c r="A25" s="4" t="inlineStr">
        <is>
          <t>T-24</t>
        </is>
      </c>
      <c r="B25" s="4" t="inlineStr">
        <is>
          <t>Unapproved TeamViewer on engineering workstation</t>
        </is>
      </c>
      <c r="C25" s="4" t="inlineStr">
        <is>
          <t>S</t>
        </is>
      </c>
      <c r="D25" s="4" t="inlineStr">
        <is>
          <t>Spoofing</t>
        </is>
      </c>
      <c r="E25" s="4" t="inlineStr">
        <is>
          <t>A-11, A-22</t>
        </is>
      </c>
      <c r="F25" s="4" t="inlineStr">
        <is>
          <t>DF-20</t>
        </is>
      </c>
      <c r="G25" s="4" t="inlineStr">
        <is>
          <t>TeamViewer installed by the vendor with an unattended-access password gives anyone holding that password direct Internet access to the EWS, bypassing VPN, IDMZ and logging.</t>
        </is>
      </c>
      <c r="H25" s="4" t="inlineStr">
        <is>
          <t>TA-6, TA-1</t>
        </is>
      </c>
      <c r="I25" s="4" t="inlineStr">
        <is>
          <t>Internet -&gt; TeamViewer -&gt; EWS</t>
        </is>
      </c>
      <c r="J25" s="4" t="inlineStr">
        <is>
          <t>None - unknown to IT before this assessment</t>
        </is>
      </c>
      <c r="K25" s="4" t="n">
        <v>4</v>
      </c>
      <c r="L25" s="4" t="n">
        <v>5</v>
      </c>
      <c r="M25" s="4">
        <f>K25*L25</f>
        <v/>
      </c>
      <c r="N25" s="4">
        <f>IF(M25&gt;=17,"Critical",IF(M25&gt;=10,"High",IF(M25&gt;=5,"Medium","Low")))</f>
        <v/>
      </c>
      <c r="O25" s="4" t="inlineStr">
        <is>
          <t>SC-01 Secure vendor remote access; SC-06 Engineering workstation &amp; HMI hardening; SC-02 IT/OT segmentation via the IDMZ</t>
        </is>
      </c>
      <c r="P25" s="4" t="n">
        <v>1</v>
      </c>
      <c r="Q25" s="4" t="n">
        <v>5</v>
      </c>
      <c r="R25" s="4">
        <f>P25*Q25</f>
        <v/>
      </c>
      <c r="S25" s="4">
        <f>IF(R25&gt;=17,"Critical",IF(R25&gt;=10,"High",IF(R25&gt;=5,"Medium","Low")))</f>
        <v/>
      </c>
      <c r="T25" s="4" t="inlineStr">
        <is>
          <t>AS-01</t>
        </is>
      </c>
    </row>
    <row r="26">
      <c r="A26" s="4" t="inlineStr">
        <is>
          <t>T-25</t>
        </is>
      </c>
      <c r="B26" s="4" t="inlineStr">
        <is>
          <t>Remote sessions not recorded</t>
        </is>
      </c>
      <c r="C26" s="4" t="inlineStr">
        <is>
          <t>R</t>
        </is>
      </c>
      <c r="D26" s="4" t="inlineStr">
        <is>
          <t>Repudiation</t>
        </is>
      </c>
      <c r="E26" s="4" t="inlineStr">
        <is>
          <t>A-08</t>
        </is>
      </c>
      <c r="F26" s="4" t="inlineStr">
        <is>
          <t>DF-10, DF-11, DF-12</t>
        </is>
      </c>
      <c r="G26" s="4" t="inlineStr">
        <is>
          <t>Jump server sessions are neither recorded nor centrally logged, so vendor and IT administrator actions in OT cannot be reconstructed after an incident.</t>
        </is>
      </c>
      <c r="H26" s="4" t="inlineStr">
        <is>
          <t>TA-4, TA-6</t>
        </is>
      </c>
      <c r="I26" s="4" t="inlineStr">
        <is>
          <t>Any jump server session</t>
        </is>
      </c>
      <c r="J26" s="4" t="inlineStr">
        <is>
          <t>Windows Security log, local only</t>
        </is>
      </c>
      <c r="K26" s="4" t="n">
        <v>3</v>
      </c>
      <c r="L26" s="4" t="n">
        <v>3</v>
      </c>
      <c r="M26" s="4">
        <f>K26*L26</f>
        <v/>
      </c>
      <c r="N26" s="4">
        <f>IF(M26&gt;=17,"Critical",IF(M26&gt;=10,"High",IF(M26&gt;=5,"Medium","Low")))</f>
        <v/>
      </c>
      <c r="O26" s="4" t="inlineStr">
        <is>
          <t>SC-05 Hardened jump server; SC-09 Centralised security logging</t>
        </is>
      </c>
      <c r="P26" s="4" t="n">
        <v>1</v>
      </c>
      <c r="Q26" s="4" t="n">
        <v>3</v>
      </c>
      <c r="R26" s="4">
        <f>P26*Q26</f>
        <v/>
      </c>
      <c r="S26" s="4">
        <f>IF(R26&gt;=17,"Critical",IF(R26&gt;=10,"High",IF(R26&gt;=5,"Medium","Low")))</f>
        <v/>
      </c>
      <c r="T26" s="4" t="inlineStr">
        <is>
          <t>AS-01</t>
        </is>
      </c>
    </row>
    <row r="27">
      <c r="A27" s="4" t="inlineStr">
        <is>
          <t>T-26</t>
        </is>
      </c>
      <c r="B27" s="4" t="inlineStr">
        <is>
          <t>Exploitation of Internet-facing VPN appliance</t>
        </is>
      </c>
      <c r="C27" s="4" t="inlineStr">
        <is>
          <t>E</t>
        </is>
      </c>
      <c r="D27" s="4" t="inlineStr">
        <is>
          <t>Elevation of Privilege</t>
        </is>
      </c>
      <c r="E27" s="4" t="inlineStr">
        <is>
          <t>A-09</t>
        </is>
      </c>
      <c r="F27" s="4" t="inlineStr">
        <is>
          <t>DF-09</t>
        </is>
      </c>
      <c r="G27" s="4" t="inlineStr">
        <is>
          <t>Edge VPN appliances are a frequent target of mass exploitation; the gateway firmware is two releases behind, and compromise yields administrative control of the remote-access path.</t>
        </is>
      </c>
      <c r="H27" s="4" t="inlineStr">
        <is>
          <t>TA-1, TA-2, TA-3</t>
        </is>
      </c>
      <c r="I27" s="4" t="inlineStr">
        <is>
          <t>Internet -&gt; VPN portal vulnerability -&gt; appliance admin -&gt; IDMZ</t>
        </is>
      </c>
      <c r="J27" s="4" t="inlineStr">
        <is>
          <t>Patching ad hoc; no exposure restriction</t>
        </is>
      </c>
      <c r="K27" s="4" t="n">
        <v>3</v>
      </c>
      <c r="L27" s="4" t="n">
        <v>5</v>
      </c>
      <c r="M27" s="4">
        <f>K27*L27</f>
        <v/>
      </c>
      <c r="N27" s="4">
        <f>IF(M27&gt;=17,"Critical",IF(M27&gt;=10,"High",IF(M27&gt;=5,"Medium","Low")))</f>
        <v/>
      </c>
      <c r="O27" s="4" t="inlineStr">
        <is>
          <t>SC-13 OT asset inventory &amp; vulnerability management; SC-01 Secure vendor remote access; SC-10 OT network monitoring (passive IDS)</t>
        </is>
      </c>
      <c r="P27" s="4" t="n">
        <v>2</v>
      </c>
      <c r="Q27" s="4" t="n">
        <v>5</v>
      </c>
      <c r="R27" s="4">
        <f>P27*Q27</f>
        <v/>
      </c>
      <c r="S27" s="4">
        <f>IF(R27&gt;=17,"Critical",IF(R27&gt;=10,"High",IF(R27&gt;=5,"Medium","Low")))</f>
        <v/>
      </c>
      <c r="T27" s="4" t="inlineStr">
        <is>
          <t>AS-01</t>
        </is>
      </c>
    </row>
    <row r="28">
      <c r="A28" s="4" t="inlineStr">
        <is>
          <t>T-27</t>
        </is>
      </c>
      <c r="B28" s="4" t="inlineStr">
        <is>
          <t>No usable backup of PLC programs and HMI projects</t>
        </is>
      </c>
      <c r="C28" s="4" t="inlineStr">
        <is>
          <t>D</t>
        </is>
      </c>
      <c r="D28" s="4" t="inlineStr">
        <is>
          <t>Denial of Service</t>
        </is>
      </c>
      <c r="E28" s="4" t="inlineStr">
        <is>
          <t>A-11, A-14, A-15, A-16, A-10</t>
        </is>
      </c>
      <c r="F28" s="4" t="inlineStr">
        <is>
          <t>DF-03</t>
        </is>
      </c>
      <c r="G28" s="4" t="inlineStr">
        <is>
          <t>The only copies of PLC and HMI projects live on the EWS; if it is encrypted or logic is altered, rebuilding from vendor archives could take weeks.</t>
        </is>
      </c>
      <c r="H28" s="4" t="inlineStr">
        <is>
          <t>TA-1, TA-5</t>
        </is>
      </c>
      <c r="I28" s="4" t="inlineStr">
        <is>
          <t>Loss of EWS -&gt; no restore source</t>
        </is>
      </c>
      <c r="J28" s="4" t="inlineStr">
        <is>
          <t>Vendor holds an archive from 2022 commissioning update</t>
        </is>
      </c>
      <c r="K28" s="4" t="n">
        <v>3</v>
      </c>
      <c r="L28" s="4" t="n">
        <v>5</v>
      </c>
      <c r="M28" s="4">
        <f>K28*L28</f>
        <v/>
      </c>
      <c r="N28" s="4">
        <f>IF(M28&gt;=17,"Critical",IF(M28&gt;=10,"High",IF(M28&gt;=5,"Medium","Low")))</f>
        <v/>
      </c>
      <c r="O28" s="4" t="inlineStr">
        <is>
          <t>SC-08 OT backup &amp; recovery</t>
        </is>
      </c>
      <c r="P28" s="4" t="n">
        <v>1</v>
      </c>
      <c r="Q28" s="4" t="n">
        <v>3</v>
      </c>
      <c r="R28" s="4">
        <f>P28*Q28</f>
        <v/>
      </c>
      <c r="S28" s="4">
        <f>IF(R28&gt;=17,"Critical",IF(R28&gt;=10,"High",IF(R28&gt;=5,"Medium","Low")))</f>
        <v/>
      </c>
      <c r="T28" s="4" t="inlineStr">
        <is>
          <t>AS-03, AS-05</t>
        </is>
      </c>
    </row>
    <row r="29">
      <c r="A29" s="4" t="inlineStr">
        <is>
          <t>T-28</t>
        </is>
      </c>
      <c r="B29" s="4" t="inlineStr">
        <is>
          <t>Malware introduced via removable media</t>
        </is>
      </c>
      <c r="C29" s="4" t="inlineStr">
        <is>
          <t>T</t>
        </is>
      </c>
      <c r="D29" s="4" t="inlineStr">
        <is>
          <t>Tampering</t>
        </is>
      </c>
      <c r="E29" s="4" t="inlineStr">
        <is>
          <t>A-11, A-10</t>
        </is>
      </c>
      <c r="F29" s="4" t="inlineStr">
        <is>
          <t>DF-19</t>
        </is>
      </c>
      <c r="G29" s="4" t="inlineStr">
        <is>
          <t>Contractors and engineers move files to the EWS and HMIs on personal USB drives, a well-documented route into air-gapped and segmented control systems.</t>
        </is>
      </c>
      <c r="H29" s="4" t="inlineStr">
        <is>
          <t>TA-5, TA-3</t>
        </is>
      </c>
      <c r="I29" s="4" t="inlineStr">
        <is>
          <t>USB -&gt; EWS/HMI -&gt; OT network</t>
        </is>
      </c>
      <c r="J29" s="4" t="inlineStr">
        <is>
          <t>Policy prohibits personal USB; not technically enforced</t>
        </is>
      </c>
      <c r="K29" s="4" t="n">
        <v>3</v>
      </c>
      <c r="L29" s="4" t="n">
        <v>4</v>
      </c>
      <c r="M29" s="4">
        <f>K29*L29</f>
        <v/>
      </c>
      <c r="N29" s="4">
        <f>IF(M29&gt;=17,"Critical",IF(M29&gt;=10,"High",IF(M29&gt;=5,"Medium","Low")))</f>
        <v/>
      </c>
      <c r="O29" s="4" t="inlineStr">
        <is>
          <t>SC-06 Engineering workstation &amp; HMI hardening; SC-14 OT incident response &amp; manual operations</t>
        </is>
      </c>
      <c r="P29" s="4" t="n">
        <v>2</v>
      </c>
      <c r="Q29" s="4" t="n">
        <v>4</v>
      </c>
      <c r="R29" s="4">
        <f>P29*Q29</f>
        <v/>
      </c>
      <c r="S29" s="4">
        <f>IF(R29&gt;=17,"Critical",IF(R29&gt;=10,"High",IF(R29&gt;=5,"Medium","Low")))</f>
        <v/>
      </c>
      <c r="T29" s="4" t="inlineStr">
        <is>
          <t>AS-03</t>
        </is>
      </c>
    </row>
    <row r="30">
      <c r="A30" s="4" t="inlineStr">
        <is>
          <t>T-29</t>
        </is>
      </c>
      <c r="B30" s="4" t="inlineStr">
        <is>
          <t>Historian replication used to pivot into OT</t>
        </is>
      </c>
      <c r="C30" s="4" t="inlineStr">
        <is>
          <t>E</t>
        </is>
      </c>
      <c r="D30" s="4" t="inlineStr">
        <is>
          <t>Elevation of Privilege</t>
        </is>
      </c>
      <c r="E30" s="4" t="inlineStr">
        <is>
          <t>A-07, A-12</t>
        </is>
      </c>
      <c r="F30" s="4" t="inlineStr">
        <is>
          <t>DF-07</t>
        </is>
      </c>
      <c r="G30" s="4" t="inlineStr">
        <is>
          <t>Bidirectional SQL replication lets a compromised replica in the IDMZ open connections to the OT historian using a privileged SQL login.</t>
        </is>
      </c>
      <c r="H30" s="4" t="inlineStr">
        <is>
          <t>TA-1, TA-3</t>
        </is>
      </c>
      <c r="I30" s="4" t="inlineStr">
        <is>
          <t>Enterprise -&gt; replica (IDMZ) -&gt; SQL 1433 -&gt; OT historian</t>
        </is>
      </c>
      <c r="J30" s="4" t="inlineStr">
        <is>
          <t>SQL authentication with sysadmin replication login</t>
        </is>
      </c>
      <c r="K30" s="4" t="n">
        <v>3</v>
      </c>
      <c r="L30" s="4" t="n">
        <v>4</v>
      </c>
      <c r="M30" s="4">
        <f>K30*L30</f>
        <v/>
      </c>
      <c r="N30" s="4">
        <f>IF(M30&gt;=17,"Critical",IF(M30&gt;=10,"High",IF(M30&gt;=5,"Medium","Low")))</f>
        <v/>
      </c>
      <c r="O30" s="4" t="inlineStr">
        <is>
          <t>SC-02 IT/OT segmentation via the IDMZ; SC-04 Privileged access management &amp; least privilege</t>
        </is>
      </c>
      <c r="P30" s="4" t="n">
        <v>1</v>
      </c>
      <c r="Q30" s="4" t="n">
        <v>4</v>
      </c>
      <c r="R30" s="4">
        <f>P30*Q30</f>
        <v/>
      </c>
      <c r="S30" s="4">
        <f>IF(R30&gt;=17,"Critical",IF(R30&gt;=10,"High",IF(R30&gt;=5,"Medium","Low")))</f>
        <v/>
      </c>
      <c r="T30" s="4" t="inlineStr">
        <is>
          <t>AS-05</t>
        </is>
      </c>
    </row>
    <row r="31">
      <c r="A31" s="4" t="inlineStr">
        <is>
          <t>T-30</t>
        </is>
      </c>
      <c r="B31" s="4" t="inlineStr">
        <is>
          <t>Rogue device connected in control cabinet</t>
        </is>
      </c>
      <c r="C31" s="4" t="inlineStr">
        <is>
          <t>T</t>
        </is>
      </c>
      <c r="D31" s="4" t="inlineStr">
        <is>
          <t>Tampering</t>
        </is>
      </c>
      <c r="E31" s="4" t="inlineStr">
        <is>
          <t>A-23, A-14, A-15, A-16</t>
        </is>
      </c>
      <c r="F31" s="4" t="inlineStr">
        <is>
          <t>DF-02, DF-03</t>
        </is>
      </c>
      <c r="G31" s="4" t="inlineStr">
        <is>
          <t>Unlocked control cabinets contain unmanaged switches with free ports; a contractor or insider laptop plugged in gets full Layer-2 access to the PLCs.</t>
        </is>
      </c>
      <c r="H31" s="4" t="inlineStr">
        <is>
          <t>TA-4, TA-5</t>
        </is>
      </c>
      <c r="I31" s="4" t="inlineStr">
        <is>
          <t>Physical access -&gt; cabinet switch -&gt; Control network</t>
        </is>
      </c>
      <c r="J31" s="4" t="inlineStr">
        <is>
          <t>Badge access to production hall only</t>
        </is>
      </c>
      <c r="K31" s="4" t="n">
        <v>2</v>
      </c>
      <c r="L31" s="4" t="n">
        <v>4</v>
      </c>
      <c r="M31" s="4">
        <f>K31*L31</f>
        <v/>
      </c>
      <c r="N31" s="4">
        <f>IF(M31&gt;=17,"Critical",IF(M31&gt;=10,"High",IF(M31&gt;=5,"Medium","Low")))</f>
        <v/>
      </c>
      <c r="O31" s="4" t="inlineStr">
        <is>
          <t>SC-03 Control-zone conduit and switch hardening; SC-10 OT network monitoring (passive IDS)</t>
        </is>
      </c>
      <c r="P31" s="4" t="n">
        <v>2</v>
      </c>
      <c r="Q31" s="4" t="n">
        <v>4</v>
      </c>
      <c r="R31" s="4">
        <f>P31*Q31</f>
        <v/>
      </c>
      <c r="S31" s="4">
        <f>IF(R31&gt;=17,"Critical",IF(R31&gt;=10,"High",IF(R31&gt;=5,"Medium","Low")))</f>
        <v/>
      </c>
      <c r="T31" s="4" t="inlineStr"/>
    </row>
  </sheetData>
  <autoFilter ref="A1:T31"/>
  <conditionalFormatting sqref="N2:N31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conditionalFormatting sqref="S2:S31">
    <cfRule type="cellIs" priority="5" operator="equal" dxfId="0">
      <formula>"Low"</formula>
    </cfRule>
    <cfRule type="cellIs" priority="6" operator="equal" dxfId="1">
      <formula>"Medium"</formula>
    </cfRule>
    <cfRule type="cellIs" priority="7" operator="equal" dxfId="2">
      <formula>"High"</formula>
    </cfRule>
    <cfRule type="cellIs" priority="8" operator="equal" dxfId="3">
      <formula>"Critical"</formula>
    </cfRule>
  </conditionalFormatting>
  <dataValidations count="1">
    <dataValidation sqref="K2:K31 L2:L31 P2:P31 Q2:Q3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3" t="inlineStr">
        <is>
          <t>ID</t>
        </is>
      </c>
      <c r="B1" s="3" t="inlineStr">
        <is>
          <t>Threat actor</t>
        </is>
      </c>
    </row>
    <row r="2">
      <c r="A2" s="4" t="inlineStr">
        <is>
          <t>TA-1</t>
        </is>
      </c>
      <c r="B2" s="4" t="inlineStr">
        <is>
          <t>Cybercriminal / ransomware affiliate</t>
        </is>
      </c>
    </row>
    <row r="3">
      <c r="A3" s="4" t="inlineStr">
        <is>
          <t>TA-2</t>
        </is>
      </c>
      <c r="B3" s="4" t="inlineStr">
        <is>
          <t>Initial access broker</t>
        </is>
      </c>
    </row>
    <row r="4">
      <c r="A4" s="4" t="inlineStr">
        <is>
          <t>TA-3</t>
        </is>
      </c>
      <c r="B4" s="4" t="inlineStr">
        <is>
          <t>State-sponsored group with ICS capability</t>
        </is>
      </c>
    </row>
    <row r="5">
      <c r="A5" s="4" t="inlineStr">
        <is>
          <t>TA-4</t>
        </is>
      </c>
      <c r="B5" s="4" t="inlineStr">
        <is>
          <t>Malicious insider</t>
        </is>
      </c>
    </row>
    <row r="6">
      <c r="A6" s="4" t="inlineStr">
        <is>
          <t>TA-5</t>
        </is>
      </c>
      <c r="B6" s="4" t="inlineStr">
        <is>
          <t>Negligent insider or contractor</t>
        </is>
      </c>
    </row>
    <row r="7">
      <c r="A7" s="4" t="inlineStr">
        <is>
          <t>TA-6</t>
        </is>
      </c>
      <c r="B7" s="4" t="inlineStr">
        <is>
          <t>Compromised third party / supply chain</t>
        </is>
      </c>
    </row>
    <row r="8">
      <c r="A8" s="4" t="inlineStr">
        <is>
          <t>TA-7</t>
        </is>
      </c>
      <c r="B8" s="4" t="inlineStr">
        <is>
          <t>Opportunistic attacker / hacktivist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2026-10-06T06:20:57Z</dcterms:created>
  <dcterms:modified xmlns:dcterms="http://purl.org/dc/terms/" xmlns:xsi="http://www.w3.org/2001/XMLSchema-instance" xsi:type="dcterms:W3CDTF">2026-10-06T06:20:57Z</dcterms:modified>
</cp:coreProperties>
</file>